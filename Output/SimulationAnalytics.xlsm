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\Source\Repos\WienerNeustadt_Simulation\Output\"/>
    </mc:Choice>
  </mc:AlternateContent>
  <xr:revisionPtr revIDLastSave="0" documentId="13_ncr:1_{87047A76-6FDF-4A5C-A6AD-3A040F3E1E22}" xr6:coauthVersionLast="47" xr6:coauthVersionMax="47" xr10:uidLastSave="{00000000-0000-0000-0000-000000000000}"/>
  <bookViews>
    <workbookView xWindow="-98" yWindow="-98" windowWidth="28996" windowHeight="15675" firstSheet="1" activeTab="8" xr2:uid="{00000000-000D-0000-FFFF-FFFF00000000}"/>
  </bookViews>
  <sheets>
    <sheet name="Definitions" sheetId="1" r:id="rId1"/>
    <sheet name="Overview" sheetId="2" r:id="rId2"/>
    <sheet name="Incoming Trains" sheetId="3" r:id="rId3"/>
    <sheet name="Wagon Groups" sheetId="4" r:id="rId4"/>
    <sheet name="Outbound Trains" sheetId="5" r:id="rId5"/>
    <sheet name="Drive Stats" sheetId="6" r:id="rId6"/>
    <sheet name="WG Yard Times" sheetId="7" r:id="rId7"/>
    <sheet name="Activities (raw)" sheetId="8" r:id="rId8"/>
    <sheet name="Activity Charts" sheetId="11" r:id="rId9"/>
    <sheet name="OBTs (raw)" sheetId="9" r:id="rId10"/>
    <sheet name="WGs (raw)" sheetId="10" r:id="rId11"/>
  </sheets>
  <definedNames>
    <definedName name="_xlnm._FilterDatabase" localSheetId="7" hidden="1">'Activities (raw)'!$A$1:$L$804</definedName>
    <definedName name="_xlnm._FilterDatabase" localSheetId="5" hidden="1">'Drive Stats'!$A$1:$N$42</definedName>
    <definedName name="_xlnm._FilterDatabase" localSheetId="2" hidden="1">'Incoming Trains'!$A$1:$T$78</definedName>
    <definedName name="_xlnm._FilterDatabase" localSheetId="9" hidden="1">'OBTs (raw)'!$A$1:$N$79</definedName>
    <definedName name="_xlnm._FilterDatabase" localSheetId="4" hidden="1">'Outbound Trains'!$A$1:$O$79</definedName>
    <definedName name="_xlnm._FilterDatabase" localSheetId="3" hidden="1">'Wagon Groups'!$A$1:$Q$251</definedName>
    <definedName name="_xlnm._FilterDatabase" localSheetId="6" hidden="1">'WG Yard Times'!$A$1:$L$251</definedName>
    <definedName name="_xlnm._FilterDatabase" localSheetId="10" hidden="1">'WGs (raw)'!$A$1:$H$246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6" i="10" l="1"/>
  <c r="G246" i="10"/>
  <c r="H245" i="10"/>
  <c r="G245" i="10"/>
  <c r="H244" i="10"/>
  <c r="G244" i="10"/>
  <c r="H243" i="10"/>
  <c r="G243" i="10"/>
  <c r="H242" i="10"/>
  <c r="G242" i="10"/>
  <c r="H241" i="10"/>
  <c r="G241" i="10"/>
  <c r="H240" i="10"/>
  <c r="G240" i="10"/>
  <c r="H239" i="10"/>
  <c r="G239" i="10"/>
  <c r="H238" i="10"/>
  <c r="G238" i="10"/>
  <c r="H237" i="10"/>
  <c r="G237" i="10"/>
  <c r="H236" i="10"/>
  <c r="G236" i="10"/>
  <c r="H235" i="10"/>
  <c r="G235" i="10"/>
  <c r="H234" i="10"/>
  <c r="G234" i="10"/>
  <c r="H233" i="10"/>
  <c r="G233" i="10"/>
  <c r="H232" i="10"/>
  <c r="G232" i="10"/>
  <c r="H231" i="10"/>
  <c r="G231" i="10"/>
  <c r="H230" i="10"/>
  <c r="G230" i="10"/>
  <c r="H229" i="10"/>
  <c r="G229" i="10"/>
  <c r="H228" i="10"/>
  <c r="G228" i="10"/>
  <c r="H227" i="10"/>
  <c r="G227" i="10"/>
  <c r="H226" i="10"/>
  <c r="G226" i="10"/>
  <c r="H225" i="10"/>
  <c r="G225" i="10"/>
  <c r="H224" i="10"/>
  <c r="G224" i="10"/>
  <c r="H223" i="10"/>
  <c r="G223" i="10"/>
  <c r="H222" i="10"/>
  <c r="G222" i="10"/>
  <c r="H221" i="10"/>
  <c r="G221" i="10"/>
  <c r="H220" i="10"/>
  <c r="G220" i="10"/>
  <c r="H219" i="10"/>
  <c r="G219" i="10"/>
  <c r="H218" i="10"/>
  <c r="G218" i="10"/>
  <c r="H217" i="10"/>
  <c r="G217" i="10"/>
  <c r="H216" i="10"/>
  <c r="G216" i="10"/>
  <c r="H215" i="10"/>
  <c r="G215" i="10"/>
  <c r="H214" i="10"/>
  <c r="G214" i="10"/>
  <c r="H213" i="10"/>
  <c r="G213" i="10"/>
  <c r="H212" i="10"/>
  <c r="G212" i="10"/>
  <c r="H211" i="10"/>
  <c r="G211" i="10"/>
  <c r="H210" i="10"/>
  <c r="G210" i="10"/>
  <c r="H209" i="10"/>
  <c r="G209" i="10"/>
  <c r="H208" i="10"/>
  <c r="G208" i="10"/>
  <c r="H207" i="10"/>
  <c r="G207" i="10"/>
  <c r="H206" i="10"/>
  <c r="G206" i="10"/>
  <c r="H205" i="10"/>
  <c r="G205" i="10"/>
  <c r="H204" i="10"/>
  <c r="G204" i="10"/>
  <c r="H203" i="10"/>
  <c r="G203" i="10"/>
  <c r="H202" i="10"/>
  <c r="G202" i="10"/>
  <c r="H201" i="10"/>
  <c r="G201" i="10"/>
  <c r="H200" i="10"/>
  <c r="G200" i="10"/>
  <c r="H199" i="10"/>
  <c r="G199" i="10"/>
  <c r="H198" i="10"/>
  <c r="G198" i="10"/>
  <c r="H197" i="10"/>
  <c r="G197" i="10"/>
  <c r="H196" i="10"/>
  <c r="G196" i="10"/>
  <c r="H195" i="10"/>
  <c r="G195" i="10"/>
  <c r="H194" i="10"/>
  <c r="G194" i="10"/>
  <c r="H193" i="10"/>
  <c r="G193" i="10"/>
  <c r="H192" i="10"/>
  <c r="G192" i="10"/>
  <c r="H191" i="10"/>
  <c r="G191" i="10"/>
  <c r="H190" i="10"/>
  <c r="G190" i="10"/>
  <c r="H189" i="10"/>
  <c r="G189" i="10"/>
  <c r="H188" i="10"/>
  <c r="G188" i="10"/>
  <c r="H187" i="10"/>
  <c r="G187" i="10"/>
  <c r="H186" i="10"/>
  <c r="G186" i="10"/>
  <c r="H185" i="10"/>
  <c r="G185" i="10"/>
  <c r="H184" i="10"/>
  <c r="G184" i="10"/>
  <c r="H183" i="10"/>
  <c r="G183" i="10"/>
  <c r="H182" i="10"/>
  <c r="G182" i="10"/>
  <c r="H181" i="10"/>
  <c r="G181" i="10"/>
  <c r="H180" i="10"/>
  <c r="G180" i="10"/>
  <c r="H179" i="10"/>
  <c r="G179" i="10"/>
  <c r="H178" i="10"/>
  <c r="G178" i="10"/>
  <c r="H177" i="10"/>
  <c r="G177" i="10"/>
  <c r="H176" i="10"/>
  <c r="G176" i="10"/>
  <c r="H175" i="10"/>
  <c r="G175" i="10"/>
  <c r="H174" i="10"/>
  <c r="G174" i="10"/>
  <c r="H173" i="10"/>
  <c r="G173" i="10"/>
  <c r="H172" i="10"/>
  <c r="G172" i="10"/>
  <c r="H171" i="10"/>
  <c r="G171" i="10"/>
  <c r="H170" i="10"/>
  <c r="G170" i="10"/>
  <c r="H169" i="10"/>
  <c r="G169" i="10"/>
  <c r="H168" i="10"/>
  <c r="G168" i="10"/>
  <c r="H167" i="10"/>
  <c r="G167" i="10"/>
  <c r="H166" i="10"/>
  <c r="G166" i="10"/>
  <c r="H165" i="10"/>
  <c r="G165" i="10"/>
  <c r="H164" i="10"/>
  <c r="G164" i="10"/>
  <c r="H163" i="10"/>
  <c r="G163" i="10"/>
  <c r="H162" i="10"/>
  <c r="G162" i="10"/>
  <c r="H161" i="10"/>
  <c r="G161" i="10"/>
  <c r="H160" i="10"/>
  <c r="G160" i="10"/>
  <c r="H159" i="10"/>
  <c r="G159" i="10"/>
  <c r="H158" i="10"/>
  <c r="G158" i="10"/>
  <c r="H157" i="10"/>
  <c r="G157" i="10"/>
  <c r="H156" i="10"/>
  <c r="G156" i="10"/>
  <c r="H155" i="10"/>
  <c r="G155" i="10"/>
  <c r="H154" i="10"/>
  <c r="G154" i="10"/>
  <c r="H153" i="10"/>
  <c r="G153" i="10"/>
  <c r="H152" i="10"/>
  <c r="G152" i="10"/>
  <c r="H151" i="10"/>
  <c r="G151" i="10"/>
  <c r="H150" i="10"/>
  <c r="G150" i="10"/>
  <c r="H149" i="10"/>
  <c r="G149" i="10"/>
  <c r="H148" i="10"/>
  <c r="G148" i="10"/>
  <c r="H147" i="10"/>
  <c r="G147" i="10"/>
  <c r="H146" i="10"/>
  <c r="G146" i="10"/>
  <c r="H145" i="10"/>
  <c r="G145" i="10"/>
  <c r="H144" i="10"/>
  <c r="G144" i="10"/>
  <c r="H143" i="10"/>
  <c r="G143" i="10"/>
  <c r="H142" i="10"/>
  <c r="G142" i="10"/>
  <c r="H141" i="10"/>
  <c r="G141" i="10"/>
  <c r="H140" i="10"/>
  <c r="G140" i="10"/>
  <c r="H139" i="10"/>
  <c r="G139" i="10"/>
  <c r="H138" i="10"/>
  <c r="G138" i="10"/>
  <c r="H137" i="10"/>
  <c r="G137" i="10"/>
  <c r="H136" i="10"/>
  <c r="G136" i="10"/>
  <c r="H135" i="10"/>
  <c r="G135" i="10"/>
  <c r="H134" i="10"/>
  <c r="G134" i="10"/>
  <c r="H133" i="10"/>
  <c r="G133" i="10"/>
  <c r="H132" i="10"/>
  <c r="G132" i="10"/>
  <c r="H131" i="10"/>
  <c r="G131" i="10"/>
  <c r="H130" i="10"/>
  <c r="G130" i="10"/>
  <c r="H129" i="10"/>
  <c r="G129" i="10"/>
  <c r="H128" i="10"/>
  <c r="G128" i="10"/>
  <c r="H127" i="10"/>
  <c r="G127" i="10"/>
  <c r="H126" i="10"/>
  <c r="G126" i="10"/>
  <c r="H125" i="10"/>
  <c r="G125" i="10"/>
  <c r="H124" i="10"/>
  <c r="G124" i="10"/>
  <c r="H123" i="10"/>
  <c r="G123" i="10"/>
  <c r="H122" i="10"/>
  <c r="G122" i="10"/>
  <c r="H121" i="10"/>
  <c r="G121" i="10"/>
  <c r="H120" i="10"/>
  <c r="G120" i="10"/>
  <c r="H119" i="10"/>
  <c r="G119" i="10"/>
  <c r="H118" i="10"/>
  <c r="G118" i="10"/>
  <c r="H117" i="10"/>
  <c r="G117" i="10"/>
  <c r="H116" i="10"/>
  <c r="G116" i="10"/>
  <c r="H115" i="10"/>
  <c r="G115" i="10"/>
  <c r="H114" i="10"/>
  <c r="G114" i="10"/>
  <c r="H113" i="10"/>
  <c r="G113" i="10"/>
  <c r="H112" i="10"/>
  <c r="G112" i="10"/>
  <c r="H111" i="10"/>
  <c r="G111" i="10"/>
  <c r="H110" i="10"/>
  <c r="G110" i="10"/>
  <c r="H109" i="10"/>
  <c r="G109" i="10"/>
  <c r="H108" i="10"/>
  <c r="G108" i="10"/>
  <c r="H107" i="10"/>
  <c r="G107" i="10"/>
  <c r="H106" i="10"/>
  <c r="G106" i="10"/>
  <c r="H105" i="10"/>
  <c r="G105" i="10"/>
  <c r="H104" i="10"/>
  <c r="G104" i="10"/>
  <c r="H103" i="10"/>
  <c r="G103" i="10"/>
  <c r="H102" i="10"/>
  <c r="G102" i="10"/>
  <c r="H101" i="10"/>
  <c r="G101" i="10"/>
  <c r="H100" i="10"/>
  <c r="G100" i="10"/>
  <c r="H99" i="10"/>
  <c r="G99" i="10"/>
  <c r="H98" i="10"/>
  <c r="G98" i="10"/>
  <c r="H97" i="10"/>
  <c r="G97" i="10"/>
  <c r="H96" i="10"/>
  <c r="G96" i="10"/>
  <c r="H95" i="10"/>
  <c r="G95" i="10"/>
  <c r="H94" i="10"/>
  <c r="G94" i="10"/>
  <c r="H93" i="10"/>
  <c r="G93" i="10"/>
  <c r="H92" i="10"/>
  <c r="G92" i="10"/>
  <c r="H91" i="10"/>
  <c r="G91" i="10"/>
  <c r="H90" i="10"/>
  <c r="G90" i="10"/>
  <c r="H89" i="10"/>
  <c r="G89" i="10"/>
  <c r="H88" i="10"/>
  <c r="G88" i="10"/>
  <c r="H87" i="10"/>
  <c r="G87" i="10"/>
  <c r="H86" i="10"/>
  <c r="G86" i="10"/>
  <c r="H85" i="10"/>
  <c r="G85" i="10"/>
  <c r="H84" i="10"/>
  <c r="G84" i="10"/>
  <c r="H83" i="10"/>
  <c r="G83" i="10"/>
  <c r="H82" i="10"/>
  <c r="G82" i="10"/>
  <c r="H81" i="10"/>
  <c r="G81" i="10"/>
  <c r="H80" i="10"/>
  <c r="G80" i="10"/>
  <c r="H79" i="10"/>
  <c r="G79" i="10"/>
  <c r="H78" i="10"/>
  <c r="G78" i="10"/>
  <c r="H77" i="10"/>
  <c r="G77" i="10"/>
  <c r="H76" i="10"/>
  <c r="G76" i="10"/>
  <c r="H75" i="10"/>
  <c r="G75" i="10"/>
  <c r="H74" i="10"/>
  <c r="G74" i="10"/>
  <c r="H73" i="10"/>
  <c r="G73" i="10"/>
  <c r="H72" i="10"/>
  <c r="G72" i="10"/>
  <c r="H71" i="10"/>
  <c r="G71" i="10"/>
  <c r="H70" i="10"/>
  <c r="G70" i="10"/>
  <c r="H69" i="10"/>
  <c r="G69" i="10"/>
  <c r="H68" i="10"/>
  <c r="G68" i="10"/>
  <c r="H67" i="10"/>
  <c r="G67" i="10"/>
  <c r="H66" i="10"/>
  <c r="G66" i="10"/>
  <c r="H65" i="10"/>
  <c r="G65" i="10"/>
  <c r="H64" i="10"/>
  <c r="G64" i="10"/>
  <c r="H63" i="10"/>
  <c r="G63" i="10"/>
  <c r="H62" i="10"/>
  <c r="G62" i="10"/>
  <c r="H61" i="10"/>
  <c r="G61" i="10"/>
  <c r="H60" i="10"/>
  <c r="G60" i="10"/>
  <c r="H59" i="10"/>
  <c r="G59" i="10"/>
  <c r="H58" i="10"/>
  <c r="G58" i="10"/>
  <c r="H57" i="10"/>
  <c r="G57" i="10"/>
  <c r="H56" i="10"/>
  <c r="G56" i="10"/>
  <c r="H55" i="10"/>
  <c r="G55" i="10"/>
  <c r="H54" i="10"/>
  <c r="G54" i="10"/>
  <c r="H53" i="10"/>
  <c r="G53" i="10"/>
  <c r="H52" i="10"/>
  <c r="G52" i="10"/>
  <c r="H51" i="10"/>
  <c r="G51" i="10"/>
  <c r="H50" i="10"/>
  <c r="G50" i="10"/>
  <c r="H49" i="10"/>
  <c r="G49" i="10"/>
  <c r="H48" i="10"/>
  <c r="G48" i="10"/>
  <c r="H47" i="10"/>
  <c r="G47" i="10"/>
  <c r="H46" i="10"/>
  <c r="G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21" i="10"/>
  <c r="G21" i="10"/>
  <c r="H20" i="10"/>
  <c r="G20" i="10"/>
  <c r="H19" i="10"/>
  <c r="G19" i="10"/>
  <c r="H18" i="10"/>
  <c r="G18" i="10"/>
  <c r="H17" i="10"/>
  <c r="G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2" i="10"/>
  <c r="N79" i="9"/>
  <c r="M79" i="9"/>
  <c r="L79" i="9"/>
  <c r="K79" i="9"/>
  <c r="N78" i="9"/>
  <c r="M78" i="9"/>
  <c r="L78" i="9"/>
  <c r="K78" i="9"/>
  <c r="N77" i="9"/>
  <c r="M77" i="9"/>
  <c r="L77" i="9"/>
  <c r="K77" i="9"/>
  <c r="N76" i="9"/>
  <c r="M76" i="9"/>
  <c r="L76" i="9"/>
  <c r="K76" i="9"/>
  <c r="N75" i="9"/>
  <c r="M75" i="9"/>
  <c r="L75" i="9"/>
  <c r="K75" i="9"/>
  <c r="N74" i="9"/>
  <c r="M74" i="9"/>
  <c r="L74" i="9"/>
  <c r="K74" i="9"/>
  <c r="N73" i="9"/>
  <c r="M73" i="9"/>
  <c r="L73" i="9"/>
  <c r="K73" i="9"/>
  <c r="N72" i="9"/>
  <c r="M72" i="9"/>
  <c r="L72" i="9"/>
  <c r="K72" i="9"/>
  <c r="N71" i="9"/>
  <c r="M71" i="9"/>
  <c r="L71" i="9"/>
  <c r="K71" i="9"/>
  <c r="N70" i="9"/>
  <c r="M70" i="9"/>
  <c r="L70" i="9"/>
  <c r="K70" i="9"/>
  <c r="N69" i="9"/>
  <c r="M69" i="9"/>
  <c r="L69" i="9"/>
  <c r="K69" i="9"/>
  <c r="N68" i="9"/>
  <c r="M68" i="9"/>
  <c r="L68" i="9"/>
  <c r="K68" i="9"/>
  <c r="N67" i="9"/>
  <c r="M67" i="9"/>
  <c r="L67" i="9"/>
  <c r="K67" i="9"/>
  <c r="N66" i="9"/>
  <c r="M66" i="9"/>
  <c r="L66" i="9"/>
  <c r="K66" i="9"/>
  <c r="N65" i="9"/>
  <c r="M65" i="9"/>
  <c r="L65" i="9"/>
  <c r="K65" i="9"/>
  <c r="N64" i="9"/>
  <c r="M64" i="9"/>
  <c r="L64" i="9"/>
  <c r="K64" i="9"/>
  <c r="N63" i="9"/>
  <c r="M63" i="9"/>
  <c r="L63" i="9"/>
  <c r="K63" i="9"/>
  <c r="N62" i="9"/>
  <c r="M62" i="9"/>
  <c r="L62" i="9"/>
  <c r="K62" i="9"/>
  <c r="N61" i="9"/>
  <c r="M61" i="9"/>
  <c r="L61" i="9"/>
  <c r="K61" i="9"/>
  <c r="N60" i="9"/>
  <c r="M60" i="9"/>
  <c r="L60" i="9"/>
  <c r="K60" i="9"/>
  <c r="N59" i="9"/>
  <c r="M59" i="9"/>
  <c r="L59" i="9"/>
  <c r="K59" i="9"/>
  <c r="N58" i="9"/>
  <c r="M58" i="9"/>
  <c r="L58" i="9"/>
  <c r="K58" i="9"/>
  <c r="N57" i="9"/>
  <c r="M57" i="9"/>
  <c r="L57" i="9"/>
  <c r="K57" i="9"/>
  <c r="N56" i="9"/>
  <c r="M56" i="9"/>
  <c r="L56" i="9"/>
  <c r="K56" i="9"/>
  <c r="N55" i="9"/>
  <c r="M55" i="9"/>
  <c r="L55" i="9"/>
  <c r="K55" i="9"/>
  <c r="N54" i="9"/>
  <c r="M54" i="9"/>
  <c r="L54" i="9"/>
  <c r="K54" i="9"/>
  <c r="N53" i="9"/>
  <c r="M53" i="9"/>
  <c r="L53" i="9"/>
  <c r="K53" i="9"/>
  <c r="N52" i="9"/>
  <c r="M52" i="9"/>
  <c r="L52" i="9"/>
  <c r="K52" i="9"/>
  <c r="N51" i="9"/>
  <c r="M51" i="9"/>
  <c r="L51" i="9"/>
  <c r="K51" i="9"/>
  <c r="N50" i="9"/>
  <c r="M50" i="9"/>
  <c r="L50" i="9"/>
  <c r="K50" i="9"/>
  <c r="N49" i="9"/>
  <c r="M49" i="9"/>
  <c r="L49" i="9"/>
  <c r="K49" i="9"/>
  <c r="N48" i="9"/>
  <c r="M48" i="9"/>
  <c r="L48" i="9"/>
  <c r="K48" i="9"/>
  <c r="N47" i="9"/>
  <c r="M47" i="9"/>
  <c r="L47" i="9"/>
  <c r="K47" i="9"/>
  <c r="N46" i="9"/>
  <c r="M46" i="9"/>
  <c r="L46" i="9"/>
  <c r="K46" i="9"/>
  <c r="N45" i="9"/>
  <c r="M45" i="9"/>
  <c r="L45" i="9"/>
  <c r="K45" i="9"/>
  <c r="N44" i="9"/>
  <c r="M44" i="9"/>
  <c r="L44" i="9"/>
  <c r="K44" i="9"/>
  <c r="N43" i="9"/>
  <c r="M43" i="9"/>
  <c r="L43" i="9"/>
  <c r="K43" i="9"/>
  <c r="N42" i="9"/>
  <c r="M42" i="9"/>
  <c r="L42" i="9"/>
  <c r="K42" i="9"/>
  <c r="N41" i="9"/>
  <c r="M41" i="9"/>
  <c r="L41" i="9"/>
  <c r="K41" i="9"/>
  <c r="N40" i="9"/>
  <c r="M40" i="9"/>
  <c r="L40" i="9"/>
  <c r="K40" i="9"/>
  <c r="N39" i="9"/>
  <c r="M39" i="9"/>
  <c r="L39" i="9"/>
  <c r="K39" i="9"/>
  <c r="N38" i="9"/>
  <c r="M38" i="9"/>
  <c r="L38" i="9"/>
  <c r="K38" i="9"/>
  <c r="N37" i="9"/>
  <c r="M37" i="9"/>
  <c r="L37" i="9"/>
  <c r="K37" i="9"/>
  <c r="N36" i="9"/>
  <c r="M36" i="9"/>
  <c r="L36" i="9"/>
  <c r="K36" i="9"/>
  <c r="N35" i="9"/>
  <c r="M35" i="9"/>
  <c r="L35" i="9"/>
  <c r="K35" i="9"/>
  <c r="N34" i="9"/>
  <c r="M34" i="9"/>
  <c r="L34" i="9"/>
  <c r="K34" i="9"/>
  <c r="N33" i="9"/>
  <c r="M33" i="9"/>
  <c r="L33" i="9"/>
  <c r="K33" i="9"/>
  <c r="N32" i="9"/>
  <c r="M32" i="9"/>
  <c r="L32" i="9"/>
  <c r="K32" i="9"/>
  <c r="N31" i="9"/>
  <c r="M31" i="9"/>
  <c r="L31" i="9"/>
  <c r="K31" i="9"/>
  <c r="N30" i="9"/>
  <c r="M30" i="9"/>
  <c r="L30" i="9"/>
  <c r="K30" i="9"/>
  <c r="N29" i="9"/>
  <c r="M29" i="9"/>
  <c r="L29" i="9"/>
  <c r="K29" i="9"/>
  <c r="N28" i="9"/>
  <c r="M28" i="9"/>
  <c r="L28" i="9"/>
  <c r="K28" i="9"/>
  <c r="N27" i="9"/>
  <c r="M27" i="9"/>
  <c r="L27" i="9"/>
  <c r="K27" i="9"/>
  <c r="N26" i="9"/>
  <c r="M26" i="9"/>
  <c r="L26" i="9"/>
  <c r="K26" i="9"/>
  <c r="N25" i="9"/>
  <c r="M25" i="9"/>
  <c r="L25" i="9"/>
  <c r="K25" i="9"/>
  <c r="N24" i="9"/>
  <c r="M24" i="9"/>
  <c r="L24" i="9"/>
  <c r="K24" i="9"/>
  <c r="N23" i="9"/>
  <c r="M23" i="9"/>
  <c r="L23" i="9"/>
  <c r="K23" i="9"/>
  <c r="N22" i="9"/>
  <c r="M22" i="9"/>
  <c r="L22" i="9"/>
  <c r="K22" i="9"/>
  <c r="N21" i="9"/>
  <c r="M21" i="9"/>
  <c r="L21" i="9"/>
  <c r="K21" i="9"/>
  <c r="N20" i="9"/>
  <c r="M20" i="9"/>
  <c r="L20" i="9"/>
  <c r="K20" i="9"/>
  <c r="N19" i="9"/>
  <c r="M19" i="9"/>
  <c r="L19" i="9"/>
  <c r="K19" i="9"/>
  <c r="N18" i="9"/>
  <c r="M18" i="9"/>
  <c r="L18" i="9"/>
  <c r="K18" i="9"/>
  <c r="N17" i="9"/>
  <c r="M17" i="9"/>
  <c r="L17" i="9"/>
  <c r="K17" i="9"/>
  <c r="N16" i="9"/>
  <c r="M16" i="9"/>
  <c r="L16" i="9"/>
  <c r="K16" i="9"/>
  <c r="N15" i="9"/>
  <c r="M15" i="9"/>
  <c r="L15" i="9"/>
  <c r="K15" i="9"/>
  <c r="N14" i="9"/>
  <c r="M14" i="9"/>
  <c r="L14" i="9"/>
  <c r="K14" i="9"/>
  <c r="N13" i="9"/>
  <c r="M13" i="9"/>
  <c r="L13" i="9"/>
  <c r="K13" i="9"/>
  <c r="N12" i="9"/>
  <c r="M12" i="9"/>
  <c r="L12" i="9"/>
  <c r="K12" i="9"/>
  <c r="N11" i="9"/>
  <c r="M11" i="9"/>
  <c r="L11" i="9"/>
  <c r="K11" i="9"/>
  <c r="N10" i="9"/>
  <c r="M10" i="9"/>
  <c r="L10" i="9"/>
  <c r="K10" i="9"/>
  <c r="N9" i="9"/>
  <c r="M9" i="9"/>
  <c r="L9" i="9"/>
  <c r="K9" i="9"/>
  <c r="N8" i="9"/>
  <c r="M8" i="9"/>
  <c r="L8" i="9"/>
  <c r="K8" i="9"/>
  <c r="N7" i="9"/>
  <c r="M7" i="9"/>
  <c r="L7" i="9"/>
  <c r="K7" i="9"/>
  <c r="N6" i="9"/>
  <c r="M6" i="9"/>
  <c r="L6" i="9"/>
  <c r="K6" i="9"/>
  <c r="N5" i="9"/>
  <c r="M5" i="9"/>
  <c r="L5" i="9"/>
  <c r="K5" i="9"/>
  <c r="N4" i="9"/>
  <c r="M4" i="9"/>
  <c r="L4" i="9"/>
  <c r="K4" i="9"/>
  <c r="N3" i="9"/>
  <c r="M3" i="9"/>
  <c r="L3" i="9"/>
  <c r="K3" i="9"/>
  <c r="N2" i="9"/>
  <c r="M2" i="9"/>
  <c r="L2" i="9"/>
  <c r="K2" i="9"/>
  <c r="L251" i="7"/>
  <c r="K251" i="7"/>
  <c r="L250" i="7"/>
  <c r="K250" i="7"/>
  <c r="L249" i="7"/>
  <c r="K249" i="7"/>
  <c r="L248" i="7"/>
  <c r="K248" i="7"/>
  <c r="L247" i="7"/>
  <c r="K247" i="7"/>
  <c r="L246" i="7"/>
  <c r="K246" i="7"/>
  <c r="L245" i="7"/>
  <c r="K245" i="7"/>
  <c r="L244" i="7"/>
  <c r="K244" i="7"/>
  <c r="L243" i="7"/>
  <c r="K243" i="7"/>
  <c r="L242" i="7"/>
  <c r="K242" i="7"/>
  <c r="L241" i="7"/>
  <c r="K241" i="7"/>
  <c r="L240" i="7"/>
  <c r="K240" i="7"/>
  <c r="L239" i="7"/>
  <c r="K239" i="7"/>
  <c r="L238" i="7"/>
  <c r="K238" i="7"/>
  <c r="L237" i="7"/>
  <c r="K237" i="7"/>
  <c r="L236" i="7"/>
  <c r="K236" i="7"/>
  <c r="L235" i="7"/>
  <c r="K235" i="7"/>
  <c r="L234" i="7"/>
  <c r="K234" i="7"/>
  <c r="L233" i="7"/>
  <c r="K233" i="7"/>
  <c r="L232" i="7"/>
  <c r="K232" i="7"/>
  <c r="L231" i="7"/>
  <c r="K231" i="7"/>
  <c r="L230" i="7"/>
  <c r="K230" i="7"/>
  <c r="L229" i="7"/>
  <c r="K229" i="7"/>
  <c r="L228" i="7"/>
  <c r="K228" i="7"/>
  <c r="L227" i="7"/>
  <c r="K227" i="7"/>
  <c r="L226" i="7"/>
  <c r="K226" i="7"/>
  <c r="L225" i="7"/>
  <c r="K225" i="7"/>
  <c r="L224" i="7"/>
  <c r="K224" i="7"/>
  <c r="L223" i="7"/>
  <c r="K223" i="7"/>
  <c r="L222" i="7"/>
  <c r="K222" i="7"/>
  <c r="L221" i="7"/>
  <c r="K221" i="7"/>
  <c r="L220" i="7"/>
  <c r="K220" i="7"/>
  <c r="L219" i="7"/>
  <c r="K219" i="7"/>
  <c r="L218" i="7"/>
  <c r="K218" i="7"/>
  <c r="L217" i="7"/>
  <c r="K217" i="7"/>
  <c r="L216" i="7"/>
  <c r="K216" i="7"/>
  <c r="L215" i="7"/>
  <c r="K215" i="7"/>
  <c r="L214" i="7"/>
  <c r="K214" i="7"/>
  <c r="L213" i="7"/>
  <c r="K213" i="7"/>
  <c r="L212" i="7"/>
  <c r="K212" i="7"/>
  <c r="L211" i="7"/>
  <c r="K211" i="7"/>
  <c r="L210" i="7"/>
  <c r="K210" i="7"/>
  <c r="L209" i="7"/>
  <c r="K209" i="7"/>
  <c r="L208" i="7"/>
  <c r="K208" i="7"/>
  <c r="L207" i="7"/>
  <c r="K207" i="7"/>
  <c r="L206" i="7"/>
  <c r="K206" i="7"/>
  <c r="L205" i="7"/>
  <c r="K205" i="7"/>
  <c r="L204" i="7"/>
  <c r="K204" i="7"/>
  <c r="L203" i="7"/>
  <c r="K203" i="7"/>
  <c r="L202" i="7"/>
  <c r="K202" i="7"/>
  <c r="L201" i="7"/>
  <c r="K201" i="7"/>
  <c r="L200" i="7"/>
  <c r="K200" i="7"/>
  <c r="L199" i="7"/>
  <c r="K199" i="7"/>
  <c r="L198" i="7"/>
  <c r="K198" i="7"/>
  <c r="L197" i="7"/>
  <c r="K197" i="7"/>
  <c r="L196" i="7"/>
  <c r="K196" i="7"/>
  <c r="L195" i="7"/>
  <c r="K195" i="7"/>
  <c r="L194" i="7"/>
  <c r="K194" i="7"/>
  <c r="L193" i="7"/>
  <c r="K193" i="7"/>
  <c r="L192" i="7"/>
  <c r="K192" i="7"/>
  <c r="L191" i="7"/>
  <c r="K191" i="7"/>
  <c r="L190" i="7"/>
  <c r="K190" i="7"/>
  <c r="L189" i="7"/>
  <c r="K189" i="7"/>
  <c r="L188" i="7"/>
  <c r="K188" i="7"/>
  <c r="L187" i="7"/>
  <c r="K187" i="7"/>
  <c r="L186" i="7"/>
  <c r="K186" i="7"/>
  <c r="L185" i="7"/>
  <c r="K185" i="7"/>
  <c r="L184" i="7"/>
  <c r="K184" i="7"/>
  <c r="L183" i="7"/>
  <c r="K183" i="7"/>
  <c r="L182" i="7"/>
  <c r="K182" i="7"/>
  <c r="L181" i="7"/>
  <c r="K181" i="7"/>
  <c r="L180" i="7"/>
  <c r="K180" i="7"/>
  <c r="L179" i="7"/>
  <c r="K179" i="7"/>
  <c r="L178" i="7"/>
  <c r="K178" i="7"/>
  <c r="L177" i="7"/>
  <c r="K177" i="7"/>
  <c r="L176" i="7"/>
  <c r="K176" i="7"/>
  <c r="L175" i="7"/>
  <c r="K175" i="7"/>
  <c r="L174" i="7"/>
  <c r="K174" i="7"/>
  <c r="L173" i="7"/>
  <c r="K173" i="7"/>
  <c r="L172" i="7"/>
  <c r="K172" i="7"/>
  <c r="L171" i="7"/>
  <c r="K171" i="7"/>
  <c r="L170" i="7"/>
  <c r="K170" i="7"/>
  <c r="L169" i="7"/>
  <c r="K169" i="7"/>
  <c r="L168" i="7"/>
  <c r="K168" i="7"/>
  <c r="L167" i="7"/>
  <c r="K167" i="7"/>
  <c r="L166" i="7"/>
  <c r="K166" i="7"/>
  <c r="L165" i="7"/>
  <c r="K165" i="7"/>
  <c r="L164" i="7"/>
  <c r="K164" i="7"/>
  <c r="L163" i="7"/>
  <c r="K163" i="7"/>
  <c r="L162" i="7"/>
  <c r="K162" i="7"/>
  <c r="L161" i="7"/>
  <c r="K161" i="7"/>
  <c r="L160" i="7"/>
  <c r="K160" i="7"/>
  <c r="L159" i="7"/>
  <c r="K159" i="7"/>
  <c r="L158" i="7"/>
  <c r="K158" i="7"/>
  <c r="L157" i="7"/>
  <c r="K157" i="7"/>
  <c r="L156" i="7"/>
  <c r="K156" i="7"/>
  <c r="L155" i="7"/>
  <c r="K155" i="7"/>
  <c r="L154" i="7"/>
  <c r="K154" i="7"/>
  <c r="L153" i="7"/>
  <c r="K153" i="7"/>
  <c r="L152" i="7"/>
  <c r="K152" i="7"/>
  <c r="L151" i="7"/>
  <c r="K151" i="7"/>
  <c r="L150" i="7"/>
  <c r="K150" i="7"/>
  <c r="L149" i="7"/>
  <c r="K149" i="7"/>
  <c r="L148" i="7"/>
  <c r="K148" i="7"/>
  <c r="L147" i="7"/>
  <c r="K147" i="7"/>
  <c r="L146" i="7"/>
  <c r="K146" i="7"/>
  <c r="L145" i="7"/>
  <c r="K145" i="7"/>
  <c r="L144" i="7"/>
  <c r="K144" i="7"/>
  <c r="L143" i="7"/>
  <c r="K143" i="7"/>
  <c r="L142" i="7"/>
  <c r="K142" i="7"/>
  <c r="L141" i="7"/>
  <c r="K141" i="7"/>
  <c r="L140" i="7"/>
  <c r="K140" i="7"/>
  <c r="L139" i="7"/>
  <c r="K139" i="7"/>
  <c r="L138" i="7"/>
  <c r="K138" i="7"/>
  <c r="L137" i="7"/>
  <c r="K137" i="7"/>
  <c r="L136" i="7"/>
  <c r="K136" i="7"/>
  <c r="L135" i="7"/>
  <c r="K135" i="7"/>
  <c r="L134" i="7"/>
  <c r="K134" i="7"/>
  <c r="L133" i="7"/>
  <c r="K133" i="7"/>
  <c r="L132" i="7"/>
  <c r="K132" i="7"/>
  <c r="L131" i="7"/>
  <c r="K131" i="7"/>
  <c r="L130" i="7"/>
  <c r="K130" i="7"/>
  <c r="L129" i="7"/>
  <c r="K129" i="7"/>
  <c r="L128" i="7"/>
  <c r="K128" i="7"/>
  <c r="L127" i="7"/>
  <c r="K127" i="7"/>
  <c r="L126" i="7"/>
  <c r="K126" i="7"/>
  <c r="L125" i="7"/>
  <c r="K125" i="7"/>
  <c r="L124" i="7"/>
  <c r="K124" i="7"/>
  <c r="L123" i="7"/>
  <c r="K123" i="7"/>
  <c r="L122" i="7"/>
  <c r="K122" i="7"/>
  <c r="L121" i="7"/>
  <c r="K121" i="7"/>
  <c r="L120" i="7"/>
  <c r="K120" i="7"/>
  <c r="L119" i="7"/>
  <c r="K119" i="7"/>
  <c r="L118" i="7"/>
  <c r="K118" i="7"/>
  <c r="L117" i="7"/>
  <c r="K117" i="7"/>
  <c r="L116" i="7"/>
  <c r="K116" i="7"/>
  <c r="L115" i="7"/>
  <c r="K115" i="7"/>
  <c r="L114" i="7"/>
  <c r="K114" i="7"/>
  <c r="L113" i="7"/>
  <c r="K113" i="7"/>
  <c r="L112" i="7"/>
  <c r="K112" i="7"/>
  <c r="L111" i="7"/>
  <c r="K111" i="7"/>
  <c r="L110" i="7"/>
  <c r="K110" i="7"/>
  <c r="L109" i="7"/>
  <c r="K109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L43" i="7"/>
  <c r="K43" i="7"/>
  <c r="L42" i="7"/>
  <c r="K42" i="7"/>
  <c r="L41" i="7"/>
  <c r="K41" i="7"/>
  <c r="L40" i="7"/>
  <c r="K40" i="7"/>
  <c r="L39" i="7"/>
  <c r="K39" i="7"/>
  <c r="L38" i="7"/>
  <c r="K38" i="7"/>
  <c r="L37" i="7"/>
  <c r="K37" i="7"/>
  <c r="L36" i="7"/>
  <c r="K36" i="7"/>
  <c r="L35" i="7"/>
  <c r="K35" i="7"/>
  <c r="L34" i="7"/>
  <c r="K34" i="7"/>
  <c r="L33" i="7"/>
  <c r="K33" i="7"/>
  <c r="L32" i="7"/>
  <c r="K32" i="7"/>
  <c r="L31" i="7"/>
  <c r="K31" i="7"/>
  <c r="L30" i="7"/>
  <c r="K30" i="7"/>
  <c r="L29" i="7"/>
  <c r="K29" i="7"/>
  <c r="L28" i="7"/>
  <c r="K28" i="7"/>
  <c r="L27" i="7"/>
  <c r="K27" i="7"/>
  <c r="L26" i="7"/>
  <c r="K26" i="7"/>
  <c r="L25" i="7"/>
  <c r="K25" i="7"/>
  <c r="L24" i="7"/>
  <c r="K24" i="7"/>
  <c r="L23" i="7"/>
  <c r="K23" i="7"/>
  <c r="L22" i="7"/>
  <c r="K22" i="7"/>
  <c r="L21" i="7"/>
  <c r="K21" i="7"/>
  <c r="L20" i="7"/>
  <c r="K20" i="7"/>
  <c r="L19" i="7"/>
  <c r="K19" i="7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L6" i="7"/>
  <c r="K6" i="7"/>
  <c r="L5" i="7"/>
  <c r="K5" i="7"/>
  <c r="L4" i="7"/>
  <c r="K4" i="7"/>
  <c r="L3" i="7"/>
  <c r="K3" i="7"/>
  <c r="Q2" i="7"/>
  <c r="L2" i="7"/>
  <c r="K2" i="7"/>
  <c r="O79" i="5"/>
  <c r="N79" i="5"/>
  <c r="M79" i="5"/>
  <c r="L79" i="5"/>
  <c r="K79" i="5"/>
  <c r="O78" i="5"/>
  <c r="N78" i="5"/>
  <c r="M78" i="5"/>
  <c r="L78" i="5"/>
  <c r="K78" i="5"/>
  <c r="O77" i="5"/>
  <c r="N77" i="5"/>
  <c r="M77" i="5"/>
  <c r="L77" i="5"/>
  <c r="K77" i="5"/>
  <c r="O76" i="5"/>
  <c r="N76" i="5"/>
  <c r="M76" i="5"/>
  <c r="L76" i="5"/>
  <c r="K76" i="5"/>
  <c r="O75" i="5"/>
  <c r="N75" i="5"/>
  <c r="M75" i="5"/>
  <c r="L75" i="5"/>
  <c r="K75" i="5"/>
  <c r="O74" i="5"/>
  <c r="N74" i="5"/>
  <c r="M74" i="5"/>
  <c r="L74" i="5"/>
  <c r="K74" i="5"/>
  <c r="O73" i="5"/>
  <c r="N73" i="5"/>
  <c r="M73" i="5"/>
  <c r="L73" i="5"/>
  <c r="K73" i="5"/>
  <c r="O72" i="5"/>
  <c r="N72" i="5"/>
  <c r="M72" i="5"/>
  <c r="L72" i="5"/>
  <c r="K72" i="5"/>
  <c r="O71" i="5"/>
  <c r="N71" i="5"/>
  <c r="M71" i="5"/>
  <c r="L71" i="5"/>
  <c r="K71" i="5"/>
  <c r="O70" i="5"/>
  <c r="N70" i="5"/>
  <c r="M70" i="5"/>
  <c r="L70" i="5"/>
  <c r="K70" i="5"/>
  <c r="O69" i="5"/>
  <c r="N69" i="5"/>
  <c r="M69" i="5"/>
  <c r="L69" i="5"/>
  <c r="K69" i="5"/>
  <c r="O68" i="5"/>
  <c r="N68" i="5"/>
  <c r="M68" i="5"/>
  <c r="L68" i="5"/>
  <c r="K68" i="5"/>
  <c r="O67" i="5"/>
  <c r="N67" i="5"/>
  <c r="M67" i="5"/>
  <c r="L67" i="5"/>
  <c r="K67" i="5"/>
  <c r="O66" i="5"/>
  <c r="N66" i="5"/>
  <c r="M66" i="5"/>
  <c r="L66" i="5"/>
  <c r="K66" i="5"/>
  <c r="O65" i="5"/>
  <c r="N65" i="5"/>
  <c r="M65" i="5"/>
  <c r="L65" i="5"/>
  <c r="K65" i="5"/>
  <c r="O64" i="5"/>
  <c r="N64" i="5"/>
  <c r="M64" i="5"/>
  <c r="L64" i="5"/>
  <c r="K64" i="5"/>
  <c r="O63" i="5"/>
  <c r="N63" i="5"/>
  <c r="M63" i="5"/>
  <c r="L63" i="5"/>
  <c r="K63" i="5"/>
  <c r="O62" i="5"/>
  <c r="N62" i="5"/>
  <c r="M62" i="5"/>
  <c r="L62" i="5"/>
  <c r="K62" i="5"/>
  <c r="O61" i="5"/>
  <c r="N61" i="5"/>
  <c r="M61" i="5"/>
  <c r="L61" i="5"/>
  <c r="K61" i="5"/>
  <c r="O60" i="5"/>
  <c r="N60" i="5"/>
  <c r="M60" i="5"/>
  <c r="L60" i="5"/>
  <c r="K60" i="5"/>
  <c r="O59" i="5"/>
  <c r="N59" i="5"/>
  <c r="M59" i="5"/>
  <c r="L59" i="5"/>
  <c r="K59" i="5"/>
  <c r="O58" i="5"/>
  <c r="N58" i="5"/>
  <c r="M58" i="5"/>
  <c r="L58" i="5"/>
  <c r="K58" i="5"/>
  <c r="O57" i="5"/>
  <c r="N57" i="5"/>
  <c r="M57" i="5"/>
  <c r="L57" i="5"/>
  <c r="K57" i="5"/>
  <c r="O56" i="5"/>
  <c r="N56" i="5"/>
  <c r="M56" i="5"/>
  <c r="L56" i="5"/>
  <c r="K56" i="5"/>
  <c r="O55" i="5"/>
  <c r="N55" i="5"/>
  <c r="M55" i="5"/>
  <c r="L55" i="5"/>
  <c r="K55" i="5"/>
  <c r="O54" i="5"/>
  <c r="N54" i="5"/>
  <c r="M54" i="5"/>
  <c r="L54" i="5"/>
  <c r="K54" i="5"/>
  <c r="O53" i="5"/>
  <c r="N53" i="5"/>
  <c r="M53" i="5"/>
  <c r="L53" i="5"/>
  <c r="K53" i="5"/>
  <c r="O52" i="5"/>
  <c r="N52" i="5"/>
  <c r="M52" i="5"/>
  <c r="L52" i="5"/>
  <c r="K52" i="5"/>
  <c r="O51" i="5"/>
  <c r="N51" i="5"/>
  <c r="M51" i="5"/>
  <c r="L51" i="5"/>
  <c r="K51" i="5"/>
  <c r="O50" i="5"/>
  <c r="N50" i="5"/>
  <c r="M50" i="5"/>
  <c r="L50" i="5"/>
  <c r="K50" i="5"/>
  <c r="O49" i="5"/>
  <c r="N49" i="5"/>
  <c r="M49" i="5"/>
  <c r="L49" i="5"/>
  <c r="K49" i="5"/>
  <c r="O48" i="5"/>
  <c r="N48" i="5"/>
  <c r="M48" i="5"/>
  <c r="L48" i="5"/>
  <c r="K48" i="5"/>
  <c r="O47" i="5"/>
  <c r="N47" i="5"/>
  <c r="M47" i="5"/>
  <c r="L47" i="5"/>
  <c r="K47" i="5"/>
  <c r="O46" i="5"/>
  <c r="N46" i="5"/>
  <c r="M46" i="5"/>
  <c r="L46" i="5"/>
  <c r="K46" i="5"/>
  <c r="O45" i="5"/>
  <c r="N45" i="5"/>
  <c r="M45" i="5"/>
  <c r="L45" i="5"/>
  <c r="K45" i="5"/>
  <c r="O44" i="5"/>
  <c r="N44" i="5"/>
  <c r="M44" i="5"/>
  <c r="L44" i="5"/>
  <c r="K44" i="5"/>
  <c r="O43" i="5"/>
  <c r="N43" i="5"/>
  <c r="M43" i="5"/>
  <c r="L43" i="5"/>
  <c r="K43" i="5"/>
  <c r="O42" i="5"/>
  <c r="N42" i="5"/>
  <c r="M42" i="5"/>
  <c r="L42" i="5"/>
  <c r="K42" i="5"/>
  <c r="O41" i="5"/>
  <c r="N41" i="5"/>
  <c r="M41" i="5"/>
  <c r="L41" i="5"/>
  <c r="K41" i="5"/>
  <c r="O40" i="5"/>
  <c r="N40" i="5"/>
  <c r="M40" i="5"/>
  <c r="L40" i="5"/>
  <c r="K40" i="5"/>
  <c r="O39" i="5"/>
  <c r="N39" i="5"/>
  <c r="M39" i="5"/>
  <c r="L39" i="5"/>
  <c r="K39" i="5"/>
  <c r="O38" i="5"/>
  <c r="N38" i="5"/>
  <c r="M38" i="5"/>
  <c r="L38" i="5"/>
  <c r="K38" i="5"/>
  <c r="O37" i="5"/>
  <c r="N37" i="5"/>
  <c r="M37" i="5"/>
  <c r="L37" i="5"/>
  <c r="K37" i="5"/>
  <c r="O36" i="5"/>
  <c r="N36" i="5"/>
  <c r="M36" i="5"/>
  <c r="L36" i="5"/>
  <c r="K36" i="5"/>
  <c r="O35" i="5"/>
  <c r="N35" i="5"/>
  <c r="M35" i="5"/>
  <c r="L35" i="5"/>
  <c r="K35" i="5"/>
  <c r="O34" i="5"/>
  <c r="N34" i="5"/>
  <c r="M34" i="5"/>
  <c r="L34" i="5"/>
  <c r="K34" i="5"/>
  <c r="O33" i="5"/>
  <c r="N33" i="5"/>
  <c r="M33" i="5"/>
  <c r="L33" i="5"/>
  <c r="K33" i="5"/>
  <c r="O32" i="5"/>
  <c r="N32" i="5"/>
  <c r="M32" i="5"/>
  <c r="L32" i="5"/>
  <c r="K32" i="5"/>
  <c r="O31" i="5"/>
  <c r="N31" i="5"/>
  <c r="M31" i="5"/>
  <c r="L31" i="5"/>
  <c r="K31" i="5"/>
  <c r="O30" i="5"/>
  <c r="N30" i="5"/>
  <c r="M30" i="5"/>
  <c r="L30" i="5"/>
  <c r="K30" i="5"/>
  <c r="O29" i="5"/>
  <c r="N29" i="5"/>
  <c r="M29" i="5"/>
  <c r="L29" i="5"/>
  <c r="K29" i="5"/>
  <c r="O28" i="5"/>
  <c r="N28" i="5"/>
  <c r="M28" i="5"/>
  <c r="L28" i="5"/>
  <c r="K28" i="5"/>
  <c r="O27" i="5"/>
  <c r="N27" i="5"/>
  <c r="M27" i="5"/>
  <c r="L27" i="5"/>
  <c r="K27" i="5"/>
  <c r="O26" i="5"/>
  <c r="N26" i="5"/>
  <c r="M26" i="5"/>
  <c r="L26" i="5"/>
  <c r="K26" i="5"/>
  <c r="O25" i="5"/>
  <c r="N25" i="5"/>
  <c r="M25" i="5"/>
  <c r="L25" i="5"/>
  <c r="K25" i="5"/>
  <c r="O24" i="5"/>
  <c r="N24" i="5"/>
  <c r="M24" i="5"/>
  <c r="L24" i="5"/>
  <c r="K24" i="5"/>
  <c r="O23" i="5"/>
  <c r="N23" i="5"/>
  <c r="M23" i="5"/>
  <c r="L23" i="5"/>
  <c r="K23" i="5"/>
  <c r="O22" i="5"/>
  <c r="N22" i="5"/>
  <c r="M22" i="5"/>
  <c r="L22" i="5"/>
  <c r="K22" i="5"/>
  <c r="O21" i="5"/>
  <c r="N21" i="5"/>
  <c r="M21" i="5"/>
  <c r="L21" i="5"/>
  <c r="K21" i="5"/>
  <c r="O20" i="5"/>
  <c r="N20" i="5"/>
  <c r="M20" i="5"/>
  <c r="L20" i="5"/>
  <c r="K20" i="5"/>
  <c r="O19" i="5"/>
  <c r="N19" i="5"/>
  <c r="M19" i="5"/>
  <c r="L19" i="5"/>
  <c r="K19" i="5"/>
  <c r="O18" i="5"/>
  <c r="N18" i="5"/>
  <c r="M18" i="5"/>
  <c r="L18" i="5"/>
  <c r="K18" i="5"/>
  <c r="O17" i="5"/>
  <c r="N17" i="5"/>
  <c r="M17" i="5"/>
  <c r="L17" i="5"/>
  <c r="K17" i="5"/>
  <c r="O16" i="5"/>
  <c r="N16" i="5"/>
  <c r="M16" i="5"/>
  <c r="L16" i="5"/>
  <c r="K16" i="5"/>
  <c r="O15" i="5"/>
  <c r="N15" i="5"/>
  <c r="M15" i="5"/>
  <c r="L15" i="5"/>
  <c r="K15" i="5"/>
  <c r="O14" i="5"/>
  <c r="N14" i="5"/>
  <c r="M14" i="5"/>
  <c r="L14" i="5"/>
  <c r="K14" i="5"/>
  <c r="O13" i="5"/>
  <c r="N13" i="5"/>
  <c r="M13" i="5"/>
  <c r="L13" i="5"/>
  <c r="K13" i="5"/>
  <c r="O12" i="5"/>
  <c r="N12" i="5"/>
  <c r="M12" i="5"/>
  <c r="L12" i="5"/>
  <c r="K12" i="5"/>
  <c r="O11" i="5"/>
  <c r="N11" i="5"/>
  <c r="M11" i="5"/>
  <c r="L11" i="5"/>
  <c r="K11" i="5"/>
  <c r="O10" i="5"/>
  <c r="N10" i="5"/>
  <c r="M10" i="5"/>
  <c r="L10" i="5"/>
  <c r="K10" i="5"/>
  <c r="O9" i="5"/>
  <c r="N9" i="5"/>
  <c r="M9" i="5"/>
  <c r="L9" i="5"/>
  <c r="K9" i="5"/>
  <c r="O8" i="5"/>
  <c r="N8" i="5"/>
  <c r="M8" i="5"/>
  <c r="L8" i="5"/>
  <c r="K8" i="5"/>
  <c r="O7" i="5"/>
  <c r="N7" i="5"/>
  <c r="M7" i="5"/>
  <c r="L7" i="5"/>
  <c r="K7" i="5"/>
  <c r="O6" i="5"/>
  <c r="N6" i="5"/>
  <c r="M6" i="5"/>
  <c r="L6" i="5"/>
  <c r="K6" i="5"/>
  <c r="O5" i="5"/>
  <c r="N5" i="5"/>
  <c r="M5" i="5"/>
  <c r="L5" i="5"/>
  <c r="K5" i="5"/>
  <c r="O4" i="5"/>
  <c r="N4" i="5"/>
  <c r="M4" i="5"/>
  <c r="L4" i="5"/>
  <c r="K4" i="5"/>
  <c r="O3" i="5"/>
  <c r="N3" i="5"/>
  <c r="M3" i="5"/>
  <c r="L3" i="5"/>
  <c r="K3" i="5"/>
  <c r="O2" i="5"/>
  <c r="N2" i="5"/>
  <c r="M2" i="5"/>
  <c r="L2" i="5"/>
  <c r="K2" i="5"/>
  <c r="P251" i="4"/>
  <c r="N251" i="4"/>
  <c r="M251" i="4"/>
  <c r="P250" i="4"/>
  <c r="N250" i="4"/>
  <c r="M250" i="4"/>
  <c r="P249" i="4"/>
  <c r="N249" i="4"/>
  <c r="M249" i="4"/>
  <c r="P248" i="4"/>
  <c r="N248" i="4"/>
  <c r="M248" i="4"/>
  <c r="P247" i="4"/>
  <c r="N247" i="4"/>
  <c r="M247" i="4"/>
  <c r="P246" i="4"/>
  <c r="N246" i="4"/>
  <c r="M246" i="4"/>
  <c r="P245" i="4"/>
  <c r="N245" i="4"/>
  <c r="M245" i="4"/>
  <c r="P244" i="4"/>
  <c r="N244" i="4"/>
  <c r="M244" i="4"/>
  <c r="P243" i="4"/>
  <c r="N243" i="4"/>
  <c r="M243" i="4"/>
  <c r="P242" i="4"/>
  <c r="N242" i="4"/>
  <c r="M242" i="4"/>
  <c r="P241" i="4"/>
  <c r="N241" i="4"/>
  <c r="M241" i="4"/>
  <c r="P240" i="4"/>
  <c r="N240" i="4"/>
  <c r="M240" i="4"/>
  <c r="P239" i="4"/>
  <c r="N239" i="4"/>
  <c r="M239" i="4"/>
  <c r="P238" i="4"/>
  <c r="N238" i="4"/>
  <c r="M238" i="4"/>
  <c r="P237" i="4"/>
  <c r="N237" i="4"/>
  <c r="M237" i="4"/>
  <c r="P236" i="4"/>
  <c r="N236" i="4"/>
  <c r="M236" i="4"/>
  <c r="P235" i="4"/>
  <c r="N235" i="4"/>
  <c r="M235" i="4"/>
  <c r="P234" i="4"/>
  <c r="N234" i="4"/>
  <c r="M234" i="4"/>
  <c r="P233" i="4"/>
  <c r="N233" i="4"/>
  <c r="M233" i="4"/>
  <c r="P232" i="4"/>
  <c r="N232" i="4"/>
  <c r="M232" i="4"/>
  <c r="P231" i="4"/>
  <c r="N231" i="4"/>
  <c r="M231" i="4"/>
  <c r="P230" i="4"/>
  <c r="N230" i="4"/>
  <c r="M230" i="4"/>
  <c r="P229" i="4"/>
  <c r="N229" i="4"/>
  <c r="M229" i="4"/>
  <c r="P228" i="4"/>
  <c r="N228" i="4"/>
  <c r="M228" i="4"/>
  <c r="P227" i="4"/>
  <c r="N227" i="4"/>
  <c r="M227" i="4"/>
  <c r="P226" i="4"/>
  <c r="N226" i="4"/>
  <c r="M226" i="4"/>
  <c r="P225" i="4"/>
  <c r="N225" i="4"/>
  <c r="M225" i="4"/>
  <c r="P224" i="4"/>
  <c r="N224" i="4"/>
  <c r="M224" i="4"/>
  <c r="P223" i="4"/>
  <c r="N223" i="4"/>
  <c r="M223" i="4"/>
  <c r="P222" i="4"/>
  <c r="N222" i="4"/>
  <c r="M222" i="4"/>
  <c r="P221" i="4"/>
  <c r="N221" i="4"/>
  <c r="M221" i="4"/>
  <c r="P220" i="4"/>
  <c r="N220" i="4"/>
  <c r="M220" i="4"/>
  <c r="P219" i="4"/>
  <c r="N219" i="4"/>
  <c r="M219" i="4"/>
  <c r="P218" i="4"/>
  <c r="N218" i="4"/>
  <c r="M218" i="4"/>
  <c r="P217" i="4"/>
  <c r="N217" i="4"/>
  <c r="M217" i="4"/>
  <c r="P216" i="4"/>
  <c r="N216" i="4"/>
  <c r="M216" i="4"/>
  <c r="P215" i="4"/>
  <c r="N215" i="4"/>
  <c r="M215" i="4"/>
  <c r="P214" i="4"/>
  <c r="N214" i="4"/>
  <c r="M214" i="4"/>
  <c r="P213" i="4"/>
  <c r="N213" i="4"/>
  <c r="M213" i="4"/>
  <c r="P212" i="4"/>
  <c r="N212" i="4"/>
  <c r="M212" i="4"/>
  <c r="P211" i="4"/>
  <c r="N211" i="4"/>
  <c r="M211" i="4"/>
  <c r="P210" i="4"/>
  <c r="N210" i="4"/>
  <c r="M210" i="4"/>
  <c r="P209" i="4"/>
  <c r="N209" i="4"/>
  <c r="M209" i="4"/>
  <c r="P208" i="4"/>
  <c r="N208" i="4"/>
  <c r="M208" i="4"/>
  <c r="P207" i="4"/>
  <c r="N207" i="4"/>
  <c r="M207" i="4"/>
  <c r="P206" i="4"/>
  <c r="N206" i="4"/>
  <c r="M206" i="4"/>
  <c r="P205" i="4"/>
  <c r="N205" i="4"/>
  <c r="M205" i="4"/>
  <c r="P204" i="4"/>
  <c r="N204" i="4"/>
  <c r="M204" i="4"/>
  <c r="P203" i="4"/>
  <c r="N203" i="4"/>
  <c r="M203" i="4"/>
  <c r="P202" i="4"/>
  <c r="N202" i="4"/>
  <c r="M202" i="4"/>
  <c r="P201" i="4"/>
  <c r="N201" i="4"/>
  <c r="M201" i="4"/>
  <c r="P200" i="4"/>
  <c r="N200" i="4"/>
  <c r="M200" i="4"/>
  <c r="P199" i="4"/>
  <c r="N199" i="4"/>
  <c r="M199" i="4"/>
  <c r="P198" i="4"/>
  <c r="N198" i="4"/>
  <c r="M198" i="4"/>
  <c r="P197" i="4"/>
  <c r="N197" i="4"/>
  <c r="M197" i="4"/>
  <c r="P196" i="4"/>
  <c r="N196" i="4"/>
  <c r="M196" i="4"/>
  <c r="P195" i="4"/>
  <c r="N195" i="4"/>
  <c r="M195" i="4"/>
  <c r="P194" i="4"/>
  <c r="N194" i="4"/>
  <c r="M194" i="4"/>
  <c r="P193" i="4"/>
  <c r="N193" i="4"/>
  <c r="M193" i="4"/>
  <c r="P192" i="4"/>
  <c r="N192" i="4"/>
  <c r="M192" i="4"/>
  <c r="P191" i="4"/>
  <c r="N191" i="4"/>
  <c r="M191" i="4"/>
  <c r="P190" i="4"/>
  <c r="N190" i="4"/>
  <c r="M190" i="4"/>
  <c r="P189" i="4"/>
  <c r="N189" i="4"/>
  <c r="M189" i="4"/>
  <c r="P188" i="4"/>
  <c r="N188" i="4"/>
  <c r="M188" i="4"/>
  <c r="P187" i="4"/>
  <c r="N187" i="4"/>
  <c r="M187" i="4"/>
  <c r="P186" i="4"/>
  <c r="N186" i="4"/>
  <c r="M186" i="4"/>
  <c r="P185" i="4"/>
  <c r="N185" i="4"/>
  <c r="M185" i="4"/>
  <c r="P184" i="4"/>
  <c r="N184" i="4"/>
  <c r="M184" i="4"/>
  <c r="P183" i="4"/>
  <c r="N183" i="4"/>
  <c r="M183" i="4"/>
  <c r="P182" i="4"/>
  <c r="N182" i="4"/>
  <c r="M182" i="4"/>
  <c r="P181" i="4"/>
  <c r="N181" i="4"/>
  <c r="M181" i="4"/>
  <c r="P180" i="4"/>
  <c r="N180" i="4"/>
  <c r="M180" i="4"/>
  <c r="P179" i="4"/>
  <c r="N179" i="4"/>
  <c r="M179" i="4"/>
  <c r="P178" i="4"/>
  <c r="N178" i="4"/>
  <c r="M178" i="4"/>
  <c r="P177" i="4"/>
  <c r="N177" i="4"/>
  <c r="M177" i="4"/>
  <c r="P176" i="4"/>
  <c r="N176" i="4"/>
  <c r="M176" i="4"/>
  <c r="P175" i="4"/>
  <c r="N175" i="4"/>
  <c r="M175" i="4"/>
  <c r="P174" i="4"/>
  <c r="N174" i="4"/>
  <c r="M174" i="4"/>
  <c r="P173" i="4"/>
  <c r="N173" i="4"/>
  <c r="M173" i="4"/>
  <c r="P172" i="4"/>
  <c r="N172" i="4"/>
  <c r="M172" i="4"/>
  <c r="P171" i="4"/>
  <c r="N171" i="4"/>
  <c r="M171" i="4"/>
  <c r="P170" i="4"/>
  <c r="N170" i="4"/>
  <c r="M170" i="4"/>
  <c r="P169" i="4"/>
  <c r="N169" i="4"/>
  <c r="M169" i="4"/>
  <c r="P168" i="4"/>
  <c r="N168" i="4"/>
  <c r="M168" i="4"/>
  <c r="P167" i="4"/>
  <c r="N167" i="4"/>
  <c r="M167" i="4"/>
  <c r="P166" i="4"/>
  <c r="N166" i="4"/>
  <c r="M166" i="4"/>
  <c r="P165" i="4"/>
  <c r="N165" i="4"/>
  <c r="M165" i="4"/>
  <c r="P164" i="4"/>
  <c r="N164" i="4"/>
  <c r="M164" i="4"/>
  <c r="P163" i="4"/>
  <c r="N163" i="4"/>
  <c r="M163" i="4"/>
  <c r="P162" i="4"/>
  <c r="N162" i="4"/>
  <c r="M162" i="4"/>
  <c r="P161" i="4"/>
  <c r="N161" i="4"/>
  <c r="M161" i="4"/>
  <c r="P160" i="4"/>
  <c r="N160" i="4"/>
  <c r="M160" i="4"/>
  <c r="P159" i="4"/>
  <c r="N159" i="4"/>
  <c r="M159" i="4"/>
  <c r="P158" i="4"/>
  <c r="N158" i="4"/>
  <c r="M158" i="4"/>
  <c r="P157" i="4"/>
  <c r="N157" i="4"/>
  <c r="M157" i="4"/>
  <c r="P156" i="4"/>
  <c r="N156" i="4"/>
  <c r="M156" i="4"/>
  <c r="P155" i="4"/>
  <c r="N155" i="4"/>
  <c r="M155" i="4"/>
  <c r="P154" i="4"/>
  <c r="N154" i="4"/>
  <c r="M154" i="4"/>
  <c r="P153" i="4"/>
  <c r="N153" i="4"/>
  <c r="M153" i="4"/>
  <c r="P152" i="4"/>
  <c r="N152" i="4"/>
  <c r="M152" i="4"/>
  <c r="P151" i="4"/>
  <c r="N151" i="4"/>
  <c r="M151" i="4"/>
  <c r="P150" i="4"/>
  <c r="N150" i="4"/>
  <c r="M150" i="4"/>
  <c r="P149" i="4"/>
  <c r="N149" i="4"/>
  <c r="M149" i="4"/>
  <c r="P148" i="4"/>
  <c r="N148" i="4"/>
  <c r="M148" i="4"/>
  <c r="P147" i="4"/>
  <c r="N147" i="4"/>
  <c r="M147" i="4"/>
  <c r="P146" i="4"/>
  <c r="N146" i="4"/>
  <c r="M146" i="4"/>
  <c r="P145" i="4"/>
  <c r="N145" i="4"/>
  <c r="M145" i="4"/>
  <c r="P144" i="4"/>
  <c r="N144" i="4"/>
  <c r="M144" i="4"/>
  <c r="P143" i="4"/>
  <c r="N143" i="4"/>
  <c r="M143" i="4"/>
  <c r="P142" i="4"/>
  <c r="N142" i="4"/>
  <c r="M142" i="4"/>
  <c r="P141" i="4"/>
  <c r="N141" i="4"/>
  <c r="M141" i="4"/>
  <c r="P140" i="4"/>
  <c r="N140" i="4"/>
  <c r="M140" i="4"/>
  <c r="P139" i="4"/>
  <c r="N139" i="4"/>
  <c r="M139" i="4"/>
  <c r="P138" i="4"/>
  <c r="N138" i="4"/>
  <c r="M138" i="4"/>
  <c r="P137" i="4"/>
  <c r="N137" i="4"/>
  <c r="M137" i="4"/>
  <c r="P136" i="4"/>
  <c r="N136" i="4"/>
  <c r="M136" i="4"/>
  <c r="P135" i="4"/>
  <c r="N135" i="4"/>
  <c r="M135" i="4"/>
  <c r="P134" i="4"/>
  <c r="N134" i="4"/>
  <c r="M134" i="4"/>
  <c r="P133" i="4"/>
  <c r="N133" i="4"/>
  <c r="M133" i="4"/>
  <c r="P132" i="4"/>
  <c r="N132" i="4"/>
  <c r="M132" i="4"/>
  <c r="P131" i="4"/>
  <c r="N131" i="4"/>
  <c r="M131" i="4"/>
  <c r="P130" i="4"/>
  <c r="N130" i="4"/>
  <c r="M130" i="4"/>
  <c r="P129" i="4"/>
  <c r="N129" i="4"/>
  <c r="M129" i="4"/>
  <c r="P128" i="4"/>
  <c r="N128" i="4"/>
  <c r="M128" i="4"/>
  <c r="P127" i="4"/>
  <c r="N127" i="4"/>
  <c r="M127" i="4"/>
  <c r="P126" i="4"/>
  <c r="N126" i="4"/>
  <c r="M126" i="4"/>
  <c r="P125" i="4"/>
  <c r="N125" i="4"/>
  <c r="M125" i="4"/>
  <c r="P124" i="4"/>
  <c r="N124" i="4"/>
  <c r="M124" i="4"/>
  <c r="P123" i="4"/>
  <c r="N123" i="4"/>
  <c r="M123" i="4"/>
  <c r="P122" i="4"/>
  <c r="N122" i="4"/>
  <c r="M122" i="4"/>
  <c r="P121" i="4"/>
  <c r="N121" i="4"/>
  <c r="M121" i="4"/>
  <c r="P120" i="4"/>
  <c r="N120" i="4"/>
  <c r="M120" i="4"/>
  <c r="P119" i="4"/>
  <c r="N119" i="4"/>
  <c r="M119" i="4"/>
  <c r="P118" i="4"/>
  <c r="N118" i="4"/>
  <c r="M118" i="4"/>
  <c r="P117" i="4"/>
  <c r="N117" i="4"/>
  <c r="M117" i="4"/>
  <c r="P116" i="4"/>
  <c r="N116" i="4"/>
  <c r="M116" i="4"/>
  <c r="P115" i="4"/>
  <c r="N115" i="4"/>
  <c r="M115" i="4"/>
  <c r="P114" i="4"/>
  <c r="N114" i="4"/>
  <c r="M114" i="4"/>
  <c r="P113" i="4"/>
  <c r="N113" i="4"/>
  <c r="M113" i="4"/>
  <c r="P112" i="4"/>
  <c r="N112" i="4"/>
  <c r="M112" i="4"/>
  <c r="P111" i="4"/>
  <c r="N111" i="4"/>
  <c r="M111" i="4"/>
  <c r="P110" i="4"/>
  <c r="N110" i="4"/>
  <c r="M110" i="4"/>
  <c r="P109" i="4"/>
  <c r="N109" i="4"/>
  <c r="M109" i="4"/>
  <c r="P108" i="4"/>
  <c r="N108" i="4"/>
  <c r="M108" i="4"/>
  <c r="P107" i="4"/>
  <c r="N107" i="4"/>
  <c r="M107" i="4"/>
  <c r="P106" i="4"/>
  <c r="N106" i="4"/>
  <c r="M106" i="4"/>
  <c r="P105" i="4"/>
  <c r="N105" i="4"/>
  <c r="M105" i="4"/>
  <c r="P104" i="4"/>
  <c r="N104" i="4"/>
  <c r="M104" i="4"/>
  <c r="P103" i="4"/>
  <c r="N103" i="4"/>
  <c r="M103" i="4"/>
  <c r="P102" i="4"/>
  <c r="N102" i="4"/>
  <c r="M102" i="4"/>
  <c r="P101" i="4"/>
  <c r="N101" i="4"/>
  <c r="M101" i="4"/>
  <c r="P100" i="4"/>
  <c r="N100" i="4"/>
  <c r="M100" i="4"/>
  <c r="P99" i="4"/>
  <c r="N99" i="4"/>
  <c r="M99" i="4"/>
  <c r="P98" i="4"/>
  <c r="N98" i="4"/>
  <c r="M98" i="4"/>
  <c r="P97" i="4"/>
  <c r="N97" i="4"/>
  <c r="M97" i="4"/>
  <c r="P96" i="4"/>
  <c r="N96" i="4"/>
  <c r="M96" i="4"/>
  <c r="P95" i="4"/>
  <c r="N95" i="4"/>
  <c r="M95" i="4"/>
  <c r="P94" i="4"/>
  <c r="N94" i="4"/>
  <c r="M94" i="4"/>
  <c r="P93" i="4"/>
  <c r="N93" i="4"/>
  <c r="M93" i="4"/>
  <c r="P92" i="4"/>
  <c r="N92" i="4"/>
  <c r="M92" i="4"/>
  <c r="P91" i="4"/>
  <c r="N91" i="4"/>
  <c r="M91" i="4"/>
  <c r="P90" i="4"/>
  <c r="N90" i="4"/>
  <c r="M90" i="4"/>
  <c r="P89" i="4"/>
  <c r="N89" i="4"/>
  <c r="M89" i="4"/>
  <c r="P88" i="4"/>
  <c r="N88" i="4"/>
  <c r="M88" i="4"/>
  <c r="P87" i="4"/>
  <c r="N87" i="4"/>
  <c r="M87" i="4"/>
  <c r="P86" i="4"/>
  <c r="N86" i="4"/>
  <c r="M86" i="4"/>
  <c r="P85" i="4"/>
  <c r="N85" i="4"/>
  <c r="M85" i="4"/>
  <c r="P84" i="4"/>
  <c r="N84" i="4"/>
  <c r="M84" i="4"/>
  <c r="P83" i="4"/>
  <c r="N83" i="4"/>
  <c r="M83" i="4"/>
  <c r="P82" i="4"/>
  <c r="N82" i="4"/>
  <c r="M82" i="4"/>
  <c r="P81" i="4"/>
  <c r="N81" i="4"/>
  <c r="M81" i="4"/>
  <c r="P80" i="4"/>
  <c r="N80" i="4"/>
  <c r="M80" i="4"/>
  <c r="P79" i="4"/>
  <c r="N79" i="4"/>
  <c r="M79" i="4"/>
  <c r="P78" i="4"/>
  <c r="N78" i="4"/>
  <c r="M78" i="4"/>
  <c r="P77" i="4"/>
  <c r="N77" i="4"/>
  <c r="M77" i="4"/>
  <c r="P76" i="4"/>
  <c r="N76" i="4"/>
  <c r="M76" i="4"/>
  <c r="P75" i="4"/>
  <c r="N75" i="4"/>
  <c r="M75" i="4"/>
  <c r="P74" i="4"/>
  <c r="N74" i="4"/>
  <c r="M74" i="4"/>
  <c r="P73" i="4"/>
  <c r="N73" i="4"/>
  <c r="M73" i="4"/>
  <c r="P72" i="4"/>
  <c r="N72" i="4"/>
  <c r="M72" i="4"/>
  <c r="P71" i="4"/>
  <c r="N71" i="4"/>
  <c r="M71" i="4"/>
  <c r="P70" i="4"/>
  <c r="N70" i="4"/>
  <c r="M70" i="4"/>
  <c r="P69" i="4"/>
  <c r="N69" i="4"/>
  <c r="M69" i="4"/>
  <c r="P68" i="4"/>
  <c r="N68" i="4"/>
  <c r="M68" i="4"/>
  <c r="P67" i="4"/>
  <c r="N67" i="4"/>
  <c r="M67" i="4"/>
  <c r="P66" i="4"/>
  <c r="N66" i="4"/>
  <c r="M66" i="4"/>
  <c r="P65" i="4"/>
  <c r="N65" i="4"/>
  <c r="M65" i="4"/>
  <c r="P64" i="4"/>
  <c r="N64" i="4"/>
  <c r="M64" i="4"/>
  <c r="P63" i="4"/>
  <c r="N63" i="4"/>
  <c r="M63" i="4"/>
  <c r="P62" i="4"/>
  <c r="N62" i="4"/>
  <c r="M62" i="4"/>
  <c r="P61" i="4"/>
  <c r="N61" i="4"/>
  <c r="M61" i="4"/>
  <c r="P60" i="4"/>
  <c r="N60" i="4"/>
  <c r="M60" i="4"/>
  <c r="P59" i="4"/>
  <c r="N59" i="4"/>
  <c r="M59" i="4"/>
  <c r="P58" i="4"/>
  <c r="N58" i="4"/>
  <c r="M58" i="4"/>
  <c r="P57" i="4"/>
  <c r="N57" i="4"/>
  <c r="M57" i="4"/>
  <c r="P56" i="4"/>
  <c r="N56" i="4"/>
  <c r="M56" i="4"/>
  <c r="P55" i="4"/>
  <c r="N55" i="4"/>
  <c r="M55" i="4"/>
  <c r="P54" i="4"/>
  <c r="N54" i="4"/>
  <c r="M54" i="4"/>
  <c r="P53" i="4"/>
  <c r="N53" i="4"/>
  <c r="M53" i="4"/>
  <c r="P52" i="4"/>
  <c r="N52" i="4"/>
  <c r="M52" i="4"/>
  <c r="P51" i="4"/>
  <c r="N51" i="4"/>
  <c r="M51" i="4"/>
  <c r="P50" i="4"/>
  <c r="N50" i="4"/>
  <c r="M50" i="4"/>
  <c r="P49" i="4"/>
  <c r="N49" i="4"/>
  <c r="M49" i="4"/>
  <c r="P48" i="4"/>
  <c r="N48" i="4"/>
  <c r="M48" i="4"/>
  <c r="P47" i="4"/>
  <c r="N47" i="4"/>
  <c r="M47" i="4"/>
  <c r="P46" i="4"/>
  <c r="N46" i="4"/>
  <c r="M46" i="4"/>
  <c r="P45" i="4"/>
  <c r="N45" i="4"/>
  <c r="M45" i="4"/>
  <c r="P44" i="4"/>
  <c r="N44" i="4"/>
  <c r="M44" i="4"/>
  <c r="P43" i="4"/>
  <c r="N43" i="4"/>
  <c r="M43" i="4"/>
  <c r="P42" i="4"/>
  <c r="N42" i="4"/>
  <c r="M42" i="4"/>
  <c r="P41" i="4"/>
  <c r="N41" i="4"/>
  <c r="M41" i="4"/>
  <c r="P40" i="4"/>
  <c r="N40" i="4"/>
  <c r="M40" i="4"/>
  <c r="P39" i="4"/>
  <c r="N39" i="4"/>
  <c r="M39" i="4"/>
  <c r="P38" i="4"/>
  <c r="N38" i="4"/>
  <c r="M38" i="4"/>
  <c r="P37" i="4"/>
  <c r="N37" i="4"/>
  <c r="M37" i="4"/>
  <c r="P36" i="4"/>
  <c r="N36" i="4"/>
  <c r="M36" i="4"/>
  <c r="P35" i="4"/>
  <c r="N35" i="4"/>
  <c r="M35" i="4"/>
  <c r="P34" i="4"/>
  <c r="N34" i="4"/>
  <c r="M34" i="4"/>
  <c r="P33" i="4"/>
  <c r="N33" i="4"/>
  <c r="M33" i="4"/>
  <c r="P32" i="4"/>
  <c r="N32" i="4"/>
  <c r="M32" i="4"/>
  <c r="P31" i="4"/>
  <c r="N31" i="4"/>
  <c r="M31" i="4"/>
  <c r="P30" i="4"/>
  <c r="N30" i="4"/>
  <c r="M30" i="4"/>
  <c r="P29" i="4"/>
  <c r="N29" i="4"/>
  <c r="M29" i="4"/>
  <c r="P28" i="4"/>
  <c r="N28" i="4"/>
  <c r="M28" i="4"/>
  <c r="P27" i="4"/>
  <c r="N27" i="4"/>
  <c r="M27" i="4"/>
  <c r="P26" i="4"/>
  <c r="N26" i="4"/>
  <c r="M26" i="4"/>
  <c r="P25" i="4"/>
  <c r="N25" i="4"/>
  <c r="M25" i="4"/>
  <c r="P24" i="4"/>
  <c r="N24" i="4"/>
  <c r="M24" i="4"/>
  <c r="P23" i="4"/>
  <c r="N23" i="4"/>
  <c r="M23" i="4"/>
  <c r="P22" i="4"/>
  <c r="N22" i="4"/>
  <c r="M22" i="4"/>
  <c r="P21" i="4"/>
  <c r="N21" i="4"/>
  <c r="M21" i="4"/>
  <c r="P20" i="4"/>
  <c r="N20" i="4"/>
  <c r="M20" i="4"/>
  <c r="P19" i="4"/>
  <c r="N19" i="4"/>
  <c r="M19" i="4"/>
  <c r="P18" i="4"/>
  <c r="N18" i="4"/>
  <c r="M18" i="4"/>
  <c r="P17" i="4"/>
  <c r="N17" i="4"/>
  <c r="M17" i="4"/>
  <c r="P16" i="4"/>
  <c r="N16" i="4"/>
  <c r="M16" i="4"/>
  <c r="P15" i="4"/>
  <c r="N15" i="4"/>
  <c r="M15" i="4"/>
  <c r="P14" i="4"/>
  <c r="N14" i="4"/>
  <c r="M14" i="4"/>
  <c r="P13" i="4"/>
  <c r="N13" i="4"/>
  <c r="M13" i="4"/>
  <c r="P12" i="4"/>
  <c r="N12" i="4"/>
  <c r="M12" i="4"/>
  <c r="P11" i="4"/>
  <c r="N11" i="4"/>
  <c r="M11" i="4"/>
  <c r="P10" i="4"/>
  <c r="N10" i="4"/>
  <c r="M10" i="4"/>
  <c r="P9" i="4"/>
  <c r="N9" i="4"/>
  <c r="M9" i="4"/>
  <c r="P8" i="4"/>
  <c r="N8" i="4"/>
  <c r="M8" i="4"/>
  <c r="P7" i="4"/>
  <c r="N7" i="4"/>
  <c r="M7" i="4"/>
  <c r="P6" i="4"/>
  <c r="N6" i="4"/>
  <c r="M6" i="4"/>
  <c r="P5" i="4"/>
  <c r="N5" i="4"/>
  <c r="M5" i="4"/>
  <c r="P4" i="4"/>
  <c r="N4" i="4"/>
  <c r="M4" i="4"/>
  <c r="P3" i="4"/>
  <c r="N3" i="4"/>
  <c r="M3" i="4"/>
  <c r="P2" i="4"/>
  <c r="N2" i="4"/>
  <c r="M2" i="4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M2" i="3"/>
  <c r="C22" i="2"/>
  <c r="B22" i="2"/>
  <c r="E21" i="2"/>
  <c r="D21" i="2"/>
  <c r="C21" i="2"/>
  <c r="B21" i="2"/>
  <c r="E18" i="2"/>
  <c r="D18" i="2"/>
  <c r="C18" i="2"/>
  <c r="B18" i="2"/>
  <c r="E17" i="2"/>
  <c r="D17" i="2"/>
  <c r="C17" i="2"/>
  <c r="B17" i="2"/>
  <c r="E16" i="2"/>
  <c r="D16" i="2"/>
  <c r="C16" i="2"/>
  <c r="B16" i="2"/>
  <c r="E15" i="2"/>
  <c r="D15" i="2"/>
  <c r="C15" i="2"/>
  <c r="B15" i="2"/>
  <c r="E14" i="2"/>
  <c r="D14" i="2"/>
  <c r="C14" i="2"/>
  <c r="B14" i="2"/>
  <c r="E13" i="2"/>
  <c r="D13" i="2"/>
  <c r="C13" i="2"/>
  <c r="B13" i="2"/>
  <c r="E12" i="2"/>
  <c r="D12" i="2"/>
  <c r="C12" i="2"/>
  <c r="B12" i="2"/>
  <c r="E11" i="2"/>
  <c r="D11" i="2"/>
  <c r="C11" i="2"/>
  <c r="B11" i="2"/>
  <c r="B7" i="2"/>
  <c r="B6" i="2"/>
  <c r="B5" i="2"/>
  <c r="B4" i="2"/>
  <c r="Q9" i="7" l="1"/>
  <c r="Q7" i="7"/>
  <c r="Q8" i="7"/>
  <c r="E29" i="2"/>
  <c r="D28" i="2"/>
  <c r="D27" i="2"/>
  <c r="B27" i="2"/>
  <c r="D26" i="2"/>
  <c r="B26" i="2"/>
  <c r="D23" i="2"/>
  <c r="C23" i="2"/>
  <c r="E22" i="2"/>
  <c r="E30" i="2"/>
  <c r="D30" i="2"/>
  <c r="C30" i="2"/>
  <c r="B30" i="2"/>
  <c r="D29" i="2"/>
  <c r="C29" i="2"/>
  <c r="B29" i="2"/>
  <c r="E28" i="2"/>
  <c r="C28" i="2"/>
  <c r="B28" i="2"/>
  <c r="E27" i="2"/>
  <c r="C27" i="2"/>
  <c r="E26" i="2"/>
  <c r="C26" i="2"/>
  <c r="E23" i="2"/>
  <c r="B23" i="2"/>
  <c r="D22" i="2"/>
  <c r="Q6" i="7"/>
  <c r="Q5" i="7"/>
  <c r="Q4" i="7"/>
  <c r="Q3" i="7"/>
</calcChain>
</file>

<file path=xl/sharedStrings.xml><?xml version="1.0" encoding="utf-8"?>
<sst xmlns="http://schemas.openxmlformats.org/spreadsheetml/2006/main" count="6770" uniqueCount="1749">
  <si>
    <t>Metric</t>
  </si>
  <si>
    <t>Definition</t>
  </si>
  <si>
    <t>Formula / source</t>
  </si>
  <si>
    <t>— Sheets overview —</t>
  </si>
  <si>
    <t>Incoming Trains</t>
  </si>
  <si>
    <t>One row per inbound train, full lifecycle on a single line (identity, timestamps, derived waits/durations).</t>
  </si>
  <si>
    <t>tab 2; built by build_incoming_trains_sheet.</t>
  </si>
  <si>
    <t>Wagon Groups</t>
  </si>
  <si>
    <t>One row per wagon group, full lifecycle (parent train → classification → parent OBT → departure).</t>
  </si>
  <si>
    <t>tab 3; built by build_wagon_groups_sheet.</t>
  </si>
  <si>
    <t>Outbound Trains</t>
  </si>
  <si>
    <t>One row per outbound train (OBT), full lifecycle on the classification side (OBTP, exit gate, DEPD).</t>
  </si>
  <si>
    <t>tab 4; built by build_outbound_trains_sheet.</t>
  </si>
  <si>
    <t>WG Yard Times</t>
  </si>
  <si>
    <t>Per-WG cross-check of arrival-yard and classification-yard dwell times, with all the supporting timestamps shown.</t>
  </si>
  <si>
    <t>built by build_wg_yard_times_sheet.</t>
  </si>
  <si>
    <t>Activities (raw)</t>
  </si>
  <si>
    <t>One row per completed activity instance. Identity (type, id, entity, length), drive context (from/to/distance), timestamps (initialized/started/completed), duration.</t>
  </si>
  <si>
    <t>built by build_activities_raw_sheet.</t>
  </si>
  <si>
    <t>OBTs (raw) / WGs (raw)</t>
  </si>
  <si>
    <t>Flat rows for outbound trains and classified wagon groups; redundant with the per-entity sheets but kept for legacy cross-references.</t>
  </si>
  <si>
    <t>built by build_obts_raw_sheet / build_wgs_raw_sheet.</t>
  </si>
  <si>
    <t>— Incoming Trains KPIs —</t>
  </si>
  <si>
    <t>Entry Queue wait (hh:mm:ss)</t>
  </si>
  <si>
    <t>Time the train sat in the entry queue waiting for an arrival track to free up. Pure queue time — does NOT include the drive.</t>
  </si>
  <si>
    <t>Incoming Trains!M = (E − D)  = ArrivalDriveStart − EntryToStation</t>
  </si>
  <si>
    <t>Arrival drive duration (hh:mm:ss)</t>
  </si>
  <si>
    <t>Time the train spent physically driving from the entry gate to its assigned arrival track.</t>
  </si>
  <si>
    <t>Incoming Trains!N = (F − E)  = AtArrivalTrack − ArrivalDriveStart</t>
  </si>
  <si>
    <t>ITP wait (hh:mm:ss)</t>
  </si>
  <si>
    <t>Time between ITP being submitted to ResourceCU and the work actually commencing. Captures worker + shunt-loco allocation + travel-to-site time.</t>
  </si>
  <si>
    <t>Incoming Trains!O = (H − G)  = ITP_Starts − ITP_Init</t>
  </si>
  <si>
    <t>ITP duration (hh:mm:ss)</t>
  </si>
  <si>
    <t>Time the ITP work itself ran, once resources arrived.</t>
  </si>
  <si>
    <t>Incoming Trains!P = (I − H)  = ITP_Ends − ITP_Starts</t>
  </si>
  <si>
    <t>PushOff wait (hh:mm:ss)</t>
  </si>
  <si>
    <t>Time between PushOff being submitted and the work actually commencing. Captures worker re-allocation + passage-track wait.</t>
  </si>
  <si>
    <t>Incoming Trains!Q = (K − J)  = PushOff_Starts − PushOff_Init</t>
  </si>
  <si>
    <t>PushOff duration (hh:mm:ss)</t>
  </si>
  <si>
    <t>Time the entire PushOff envelope ran (all sub-drives + loco pull-backs between them).</t>
  </si>
  <si>
    <t>Incoming Trains!R = (L − K)  = PushOff_Ends − PushOff_Starts</t>
  </si>
  <si>
    <t>Total in arrival yard (hh:mm:ss)</t>
  </si>
  <si>
    <t>Total time the inbound train physically occupied an arrival track (from arrival to last WG pushed off).</t>
  </si>
  <si>
    <t>Incoming Trains!S = (L − F)  = PushOff_Ends − AtArrivalTrack</t>
  </si>
  <si>
    <t>Total in system (hh:mm:ss)</t>
  </si>
  <si>
    <t>End-to-end inbound time: from entry-queue arrival until PushOff completed.</t>
  </si>
  <si>
    <t>Incoming Trains!T = (L − D)  = PushOff_Ends − EntryToStation</t>
  </si>
  <si>
    <t>— Wagon Groups KPIs —</t>
  </si>
  <si>
    <t>Time in arrival yard (hh:mm:ss)</t>
  </si>
  <si>
    <t>Time the WG was on the arrival track as part of its parent train, from arrival to being pushed off.</t>
  </si>
  <si>
    <t>Wagon Groups!M = (G − E)  = PushOffDriveEnds − AtArrivalTrack</t>
  </si>
  <si>
    <t>Time in classification yard (hh:mm:ss)</t>
  </si>
  <si>
    <t>Time the WG sat on its classification track, from arriving there (= PushOffDrive ends) until the parent OBT physically departed.</t>
  </si>
  <si>
    <t>Wagon Groups!N = (L − G)  = DepartureDriveEnds − PushOffDriveEnds</t>
  </si>
  <si>
    <t>Idle time on classification track (hh:mm:ss)</t>
  </si>
  <si>
    <t>Time the WG waits after getting coupled or secured until the OBTP activity starts — the 'doing nothing' window after its own prep is done but before OBT-wide work begins.</t>
  </si>
  <si>
    <t>Wagon Groups!P = (I − O)  = OBTP_Starts − SEC/COP_End</t>
  </si>
  <si>
    <t>Classification context</t>
  </si>
  <si>
    <t>Plain-language narrative of the WG's time on the classification track: how it joined (secured first, or coupled to the sibling already there), the wait before each later sibling coupled, the OBTP window, and departure.</t>
  </si>
  <si>
    <t>Wagon Groups!Q; built in parse_wagon_groups.</t>
  </si>
  <si>
    <t>— Outbound Trains KPIs —</t>
  </si>
  <si>
    <t>OBTP wait (hh:mm:ss)</t>
  </si>
  <si>
    <t>Time between OBTP being submitted and actually starting. Captures worker + train-loco allocation + travel.</t>
  </si>
  <si>
    <t>Outbound Trains!K = (F − E)  = OBTP_Starts − OBTP_Init</t>
  </si>
  <si>
    <t>OBTP duration (hh:mm:ss)</t>
  </si>
  <si>
    <t>Time the OBTP work itself ran.</t>
  </si>
  <si>
    <t>Outbound Trains!L = (G − F)  = OBTP_Ends − OBTP_Starts</t>
  </si>
  <si>
    <t>DEPD gate wait (hh:mm:ss)</t>
  </si>
  <si>
    <t>Time the OBT was ready to depart (DEPD submitted) but stuck waiting for the single exit-gate resource. Headline bottleneck metric given exitGateCount = 1.</t>
  </si>
  <si>
    <t>Outbound Trains!M = (I − H)  = DEPD_Starts − DEPD_Init</t>
  </si>
  <si>
    <t>DEPD duration (hh:mm:ss)</t>
  </si>
  <si>
    <t>Time the train spent physically driving from its classification track to the exit gate.</t>
  </si>
  <si>
    <t>Outbound Trains!N = (J − I)  = DEPD_Ends − DEPD_Starts</t>
  </si>
  <si>
    <t>Total on classification track (hh:mm:ss)</t>
  </si>
  <si>
    <t>End-to-end outbound time, from OBT-creation moment (≈ OBTP init) until DEPD completes.</t>
  </si>
  <si>
    <t>Outbound Trains!O = (J − E)  = DEPD_Ends − OBTP_Init</t>
  </si>
  <si>
    <t>— Activities (raw) reference —</t>
  </si>
  <si>
    <t>Activity row</t>
  </si>
  <si>
    <t>One row per completed activity (Started AND Completed present). Pending / cancelled activities are excluded from this sheet.</t>
  </si>
  <si>
    <t>parse_activity_durations in analytics.py.</t>
  </si>
  <si>
    <t>From / To / Drive length</t>
  </si>
  <si>
    <t>Populated only for the three driving activity types (ArrivalDrive, DepartureDrive, PushOffDrive). Distance values come from static maps near the top of analytics.py (ported from C# Models/*DriveActivity.cs and Models/PushOffActivity.cs).</t>
  </si>
  <si>
    <t>ARRIVAL_DRIVE_DISTANCES + DEPARTURE_DRIVE_DISTANCES + PUSH_ARRIVAL_LEG + PUSH_CLASS_LEG (in analytics.py).</t>
  </si>
  <si>
    <t>Duration (hh:mm:ss)</t>
  </si>
  <si>
    <t>Wall-clock time the activity spent in its 'running' state. Rendered as hh:mm:ss across the whole workbook.</t>
  </si>
  <si>
    <t>Activities (raw)!K = Completed − Started</t>
  </si>
  <si>
    <t>— Activity type glossary —</t>
  </si>
  <si>
    <t>Activity type abbreviations</t>
  </si>
  <si>
    <t>ARRD = ArrivalDrive (train enters yard on own loco); ITP = IncomingTrainPreparation (workers prep arriving train); PO = PushOff (parent envelope); POD = PushOffDrive (one sub-drive per consecutive-same-destination cut of WGs); SEC = Securing (first WG on a classification track); COP = Coupling (joining WG to existing WGs on track); OBTP = OutboundTrainPreparation (workers + train loco prep OBT); DEPD = DepartureDrive (OBT exits through gate).</t>
  </si>
  <si>
    <t>(reference — see Models/Activity.cs GetActivityAbbreviation).</t>
  </si>
  <si>
    <t>— WG → OBT matching —</t>
  </si>
  <si>
    <t>How parent OBT is derived for a WG</t>
  </si>
  <si>
    <t>WGs are matched to OBTs by classification track + time window: an OBT created at time T on track X owns every WG that arrived on track X at or before T and wasn't already claimed by an earlier OBT on the same track. Greedy, earliest-OBT-first.</t>
  </si>
  <si>
    <t>parse_obts_and_wgs in analytics.py.</t>
  </si>
  <si>
    <t>Wiener Neustadt Shunting Yard — Overview</t>
  </si>
  <si>
    <t>— Run summary —</t>
  </si>
  <si>
    <t>Value</t>
  </si>
  <si>
    <t>Inbound trains processed</t>
  </si>
  <si>
    <t>OBTs created</t>
  </si>
  <si>
    <t>WGs classified</t>
  </si>
  <si>
    <t>Activity instances logged</t>
  </si>
  <si>
    <t>Sim duration (hh:mm:ss)</t>
  </si>
  <si>
    <t>— Incoming Trains KPIs (per-train averages) —</t>
  </si>
  <si>
    <t>Mean</t>
  </si>
  <si>
    <t>Min</t>
  </si>
  <si>
    <t>Max</t>
  </si>
  <si>
    <t>Median</t>
  </si>
  <si>
    <t>Entry Queue wait</t>
  </si>
  <si>
    <t>Arrival drive duration</t>
  </si>
  <si>
    <t>ITP wait</t>
  </si>
  <si>
    <t>ITP duration</t>
  </si>
  <si>
    <t>PushOff wait</t>
  </si>
  <si>
    <t>PushOff duration</t>
  </si>
  <si>
    <t>Total in arrival yard</t>
  </si>
  <si>
    <t>Total in system</t>
  </si>
  <si>
    <t>— Wagon Groups KPIs (per-WG averages) —</t>
  </si>
  <si>
    <t>Time in arrival yard</t>
  </si>
  <si>
    <t>Time in classification yard</t>
  </si>
  <si>
    <t>Idle time on classification track</t>
  </si>
  <si>
    <t>— Outbound Trains KPIs (per-OBT averages) —</t>
  </si>
  <si>
    <t>OBTP wait</t>
  </si>
  <si>
    <t>OBTP duration</t>
  </si>
  <si>
    <t>DEPD gate wait</t>
  </si>
  <si>
    <t>DEPD duration</t>
  </si>
  <si>
    <t>Total on classification track</t>
  </si>
  <si>
    <t>ID</t>
  </si>
  <si>
    <t>Length (m)</t>
  </si>
  <si>
    <t>Track</t>
  </si>
  <si>
    <t>Entry to station</t>
  </si>
  <si>
    <t>Arrival drive start</t>
  </si>
  <si>
    <t>At arrival track</t>
  </si>
  <si>
    <t>ITP init</t>
  </si>
  <si>
    <t>ITP starts</t>
  </si>
  <si>
    <t>ITP ends</t>
  </si>
  <si>
    <t>PushOff init</t>
  </si>
  <si>
    <t>PushOff starts</t>
  </si>
  <si>
    <t>PushOff ends</t>
  </si>
  <si>
    <t>Arrival drive dur (hh:mm:ss)</t>
  </si>
  <si>
    <t>12001</t>
  </si>
  <si>
    <t>703</t>
  </si>
  <si>
    <t>12002</t>
  </si>
  <si>
    <t>727</t>
  </si>
  <si>
    <t>12003</t>
  </si>
  <si>
    <t>12004</t>
  </si>
  <si>
    <t>12005</t>
  </si>
  <si>
    <t>12006</t>
  </si>
  <si>
    <t>12007</t>
  </si>
  <si>
    <t>12008</t>
  </si>
  <si>
    <t>12009</t>
  </si>
  <si>
    <t>12010</t>
  </si>
  <si>
    <t>12011</t>
  </si>
  <si>
    <t>12012</t>
  </si>
  <si>
    <t>12013</t>
  </si>
  <si>
    <t>12014</t>
  </si>
  <si>
    <t>731</t>
  </si>
  <si>
    <t>12015</t>
  </si>
  <si>
    <t>12017</t>
  </si>
  <si>
    <t>12016</t>
  </si>
  <si>
    <t>12018</t>
  </si>
  <si>
    <t>12019</t>
  </si>
  <si>
    <t>12020</t>
  </si>
  <si>
    <t>12021</t>
  </si>
  <si>
    <t>12022</t>
  </si>
  <si>
    <t>12023</t>
  </si>
  <si>
    <t>12024</t>
  </si>
  <si>
    <t>12025</t>
  </si>
  <si>
    <t>12026</t>
  </si>
  <si>
    <t>12027</t>
  </si>
  <si>
    <t>12028</t>
  </si>
  <si>
    <t>12029</t>
  </si>
  <si>
    <t>12030</t>
  </si>
  <si>
    <t>725</t>
  </si>
  <si>
    <t>12031</t>
  </si>
  <si>
    <t>723</t>
  </si>
  <si>
    <t>12032</t>
  </si>
  <si>
    <t>12033</t>
  </si>
  <si>
    <t>12034</t>
  </si>
  <si>
    <t>12035</t>
  </si>
  <si>
    <t>12036</t>
  </si>
  <si>
    <t>12037</t>
  </si>
  <si>
    <t>12038</t>
  </si>
  <si>
    <t>12039</t>
  </si>
  <si>
    <t>12040</t>
  </si>
  <si>
    <t>12041</t>
  </si>
  <si>
    <t>12042</t>
  </si>
  <si>
    <t>12043</t>
  </si>
  <si>
    <t>12044</t>
  </si>
  <si>
    <t>12045</t>
  </si>
  <si>
    <t>12046</t>
  </si>
  <si>
    <t>12047</t>
  </si>
  <si>
    <t>12049</t>
  </si>
  <si>
    <t>12048</t>
  </si>
  <si>
    <t>12050</t>
  </si>
  <si>
    <t>12051</t>
  </si>
  <si>
    <t>12052</t>
  </si>
  <si>
    <t>12053</t>
  </si>
  <si>
    <t>12054</t>
  </si>
  <si>
    <t>12055</t>
  </si>
  <si>
    <t>12056</t>
  </si>
  <si>
    <t>12057</t>
  </si>
  <si>
    <t>12058</t>
  </si>
  <si>
    <t>12059</t>
  </si>
  <si>
    <t>12060</t>
  </si>
  <si>
    <t>12061</t>
  </si>
  <si>
    <t>12062</t>
  </si>
  <si>
    <t>12063</t>
  </si>
  <si>
    <t>12064</t>
  </si>
  <si>
    <t>12065</t>
  </si>
  <si>
    <t>12066</t>
  </si>
  <si>
    <t>12067</t>
  </si>
  <si>
    <t>12068</t>
  </si>
  <si>
    <t>12069</t>
  </si>
  <si>
    <t>12070</t>
  </si>
  <si>
    <t>12071</t>
  </si>
  <si>
    <t>12072</t>
  </si>
  <si>
    <t>12073</t>
  </si>
  <si>
    <t>12074</t>
  </si>
  <si>
    <t>12075</t>
  </si>
  <si>
    <t>12076</t>
  </si>
  <si>
    <t>12077</t>
  </si>
  <si>
    <t>Parent incoming train</t>
  </si>
  <si>
    <t>Destination</t>
  </si>
  <si>
    <t>PushOffDrive starts</t>
  </si>
  <si>
    <t>PushOffDrive ends</t>
  </si>
  <si>
    <t>Parent outbound train</t>
  </si>
  <si>
    <t>OBTP starts</t>
  </si>
  <si>
    <t>OBTP ends</t>
  </si>
  <si>
    <t>Departure drive starts</t>
  </si>
  <si>
    <t>Departure drive ends</t>
  </si>
  <si>
    <t>SEC/COP end</t>
  </si>
  <si>
    <t>1200101</t>
  </si>
  <si>
    <t>Graz</t>
  </si>
  <si>
    <t>OBT060125054216-Graz</t>
  </si>
  <si>
    <t>WG 1200101 entered track got secured then waited 0:14:09 for WG 1200102 to get coupled, OBTP started on 05:43:24 finished on 06:11:24 and then left at 06:12:21</t>
  </si>
  <si>
    <t>1200102</t>
  </si>
  <si>
    <t>WG 1200102 entered track got coupled to WG 1200101, OBTP started on 05:43:24 finished on 06:11:24 and then left at 06:12:21</t>
  </si>
  <si>
    <t>1200103</t>
  </si>
  <si>
    <t>Ljubljana</t>
  </si>
  <si>
    <t>OBT070125063022-Ljubljana</t>
  </si>
  <si>
    <t>WG 1200103 entered track got secured then waited 24:50:06 for WG 1200603 to get coupled then waited 0:02:18 for WG 1200602 to get coupled, OBTP started on 06:32:52 finished on 07:20:52 and then left at 07:22:13</t>
  </si>
  <si>
    <t>1200104</t>
  </si>
  <si>
    <t>OBT060125151637-Graz</t>
  </si>
  <si>
    <t>WG 1200104 entered track got secured then waited 9:41:45 for WG 1200504 to get coupled then waited 0:02:35 for WG 1200501 to get coupled, OBTP started on 15:17:52 finished on 15:49:52 and then left at 15:51:09</t>
  </si>
  <si>
    <t>1200201</t>
  </si>
  <si>
    <t>OBT060125053035-Ljubljana</t>
  </si>
  <si>
    <t>WG 1200201 entered track got secured then waited 0:04:50 for WG 1200204 to get coupled, OBTP started on 05:32:54 finished on 06:00:54 and then left at 06:01:56</t>
  </si>
  <si>
    <t>1200202</t>
  </si>
  <si>
    <t>Linz</t>
  </si>
  <si>
    <t>OBT070125062433-Linz</t>
  </si>
  <si>
    <t>WG 1200202 entered track got secured then waited 0:05:23 for WG 1200203 to get coupled then waited 24:54:06 for WG 1200601 to get coupled, OBTP started on 06:25:46 finished on 07:01:46 and then left at 07:02:52</t>
  </si>
  <si>
    <t>1200203</t>
  </si>
  <si>
    <t>WG 1200203 entered track got coupled to WG 1200202 then waited 24:54:06 for WG 1200601 to get coupled, OBTP started on 06:25:46 finished on 07:01:46 and then left at 07:02:52</t>
  </si>
  <si>
    <t>1200204</t>
  </si>
  <si>
    <t>WG 1200204 entered track got coupled to WG 1200201, OBTP started on 05:32:54 finished on 06:00:54 and then left at 06:01:56</t>
  </si>
  <si>
    <t>1200301</t>
  </si>
  <si>
    <t>Innsbruck</t>
  </si>
  <si>
    <t>OBT060125080127-Innsbruck</t>
  </si>
  <si>
    <t>WG 1200301 entered track got secured then waited 0:08:37 for WG 1200303 to get coupled then waited 0:04:13 for WG 1200302 to get coupled, OBTP started on 08:02:40 finished on 08:42:40 and then left at 08:43:52</t>
  </si>
  <si>
    <t>1200302</t>
  </si>
  <si>
    <t>WG 1200302 entered track got coupled to WG 1200303, OBTP started on 08:02:40 finished on 08:42:40 and then left at 08:43:52</t>
  </si>
  <si>
    <t>1200303</t>
  </si>
  <si>
    <t>WG 1200303 entered track got coupled to WG 1200301 then waited 0:04:13 for WG 1200302 to get coupled, OBTP started on 08:02:40 finished on 08:42:40 and then left at 08:43:52</t>
  </si>
  <si>
    <t>1200401</t>
  </si>
  <si>
    <t>Salzburg</t>
  </si>
  <si>
    <t>OBT060125151657-Salzburg</t>
  </si>
  <si>
    <t>WG 1200401 entered track got secured then waited 0:09:38 for WG 1200402 to get coupled then waited 3:30:17 for WG 1200502 to get coupled then waited 0:05:22 for WG 1200503 to get coupled, OBTP started on 15:18:12 finished on 16:02:12 and then left at 16:03:28</t>
  </si>
  <si>
    <t>1200402</t>
  </si>
  <si>
    <t>WG 1200402 entered track got coupled to WG 1200401 then waited 3:30:17 for WG 1200502 to get coupled then waited 0:05:22 for WG 1200503 to get coupled, OBTP started on 15:18:12 finished on 16:02:12 and then left at 16:03:28</t>
  </si>
  <si>
    <t>1200501</t>
  </si>
  <si>
    <t>WG 1200501 entered track got coupled to WG 1200504, OBTP started on 15:17:52 finished on 15:49:52 and then left at 15:51:09</t>
  </si>
  <si>
    <t>1200502</t>
  </si>
  <si>
    <t>WG 1200502 entered track got coupled to WG 1200402 then waited 0:05:22 for WG 1200503 to get coupled, OBTP started on 15:18:12 finished on 16:02:12 and then left at 16:03:28</t>
  </si>
  <si>
    <t>1200503</t>
  </si>
  <si>
    <t>WG 1200503 entered track got coupled to WG 1200502, OBTP started on 15:18:12 finished on 16:02:12 and then left at 16:03:28</t>
  </si>
  <si>
    <t>1200504</t>
  </si>
  <si>
    <t>WG 1200504 entered track got coupled to WG 1200104 then waited 0:02:35 for WG 1200501 to get coupled, OBTP started on 15:17:52 finished on 15:49:52 and then left at 15:51:09</t>
  </si>
  <si>
    <t>1200601</t>
  </si>
  <si>
    <t>WG 1200601 entered track got coupled to WG 1200203, OBTP started on 06:25:46 finished on 07:01:46 and then left at 07:02:52</t>
  </si>
  <si>
    <t>1200602</t>
  </si>
  <si>
    <t>WG 1200602 entered track got coupled to WG 1200603, OBTP started on 06:32:52 finished on 07:20:52 and then left at 07:22:13</t>
  </si>
  <si>
    <t>1200603</t>
  </si>
  <si>
    <t>WG 1200603 entered track got coupled to WG 1200103 then waited 0:02:18 for WG 1200602 to get coupled, OBTP started on 06:32:52 finished on 07:20:52 and then left at 07:22:13</t>
  </si>
  <si>
    <t>1200701</t>
  </si>
  <si>
    <t>Vienna</t>
  </si>
  <si>
    <t>OBT070125064500-Vienna</t>
  </si>
  <si>
    <t>WG 1200701 entered track got secured then waited 0:10:05 for WG 1200702 to get coupled, OBTP started on 07:23:22 finished on 07:55:22 and then left at 07:56:27</t>
  </si>
  <si>
    <t>1200702</t>
  </si>
  <si>
    <t>WG 1200702 entered track got coupled to WG 1200701, OBTP started on 07:23:22 finished on 07:55:22 and then left at 07:56:27</t>
  </si>
  <si>
    <t>1200801</t>
  </si>
  <si>
    <t>OBT070125070930-Vienna</t>
  </si>
  <si>
    <t>WG 1200801 entered track got secured then waited 0:16:35 for WG 1200803 to get coupled, OBTP started on 07:34:36 finished on 08:10:36 and then left at 08:11:57</t>
  </si>
  <si>
    <t>1200802</t>
  </si>
  <si>
    <t>OBT070125070630-Graz</t>
  </si>
  <si>
    <t>WG 1200802 entered track got secured then waited 0:08:37 for WG 1200901 to get coupled, OBTP started on 07:27:22 finished on 07:55:22 and then left at 07:57:24</t>
  </si>
  <si>
    <t>1200803</t>
  </si>
  <si>
    <t>WG 1200803 entered track got coupled to WG 1200801, OBTP started on 07:34:36 finished on 08:10:36 and then left at 08:11:57</t>
  </si>
  <si>
    <t>1200901</t>
  </si>
  <si>
    <t>WG 1200901 entered track got coupled to WG 1200802, OBTP started on 07:27:22 finished on 07:55:22 and then left at 07:57:24</t>
  </si>
  <si>
    <t>1200902</t>
  </si>
  <si>
    <t>OBT070125073206-Salzburg</t>
  </si>
  <si>
    <t>WG 1200902 entered track got secured then waited 0:23:45 for WG 1201103 to get coupled then waited 0:00:03 for WG 1201104 to get coupled, OBTP started on 07:57:52 finished on 08:33:52 and then left at 08:36:18</t>
  </si>
  <si>
    <t>1200903</t>
  </si>
  <si>
    <t>OBT070125072503-Graz</t>
  </si>
  <si>
    <t>WG 1200903 entered track got secured then waited 0:10:09 for WG 1201102 to get coupled then waited 0:01:21 for WG 1201101 to get coupled, OBTP started on 07:57:47 finished on 08:33:47 and then left at 08:35:03</t>
  </si>
  <si>
    <t>1201001</t>
  </si>
  <si>
    <t>OBT070125165418-Vienna</t>
  </si>
  <si>
    <t>WG 1201001 entered track got secured then waited 0:03:58 for WG 1201002 to get coupled then waited 0:02:05 for WG 1201003 to get coupled then waited 9:30:29 for WG 1201301 to get coupled then waited 0:04:46 for WG 1201302 to get coupled, OBTP started on 16:55:33 finished on 17:39:33 and then left at 17:40:52</t>
  </si>
  <si>
    <t>1201002</t>
  </si>
  <si>
    <t>WG 1201002 entered track got coupled to WG 1201001 then waited 0:02:05 for WG 1201003 to get coupled then waited 9:30:29 for WG 1201301 to get coupled then waited 0:04:46 for WG 1201302 to get coupled, OBTP started on 16:55:33 finished on 17:39:33 and then left at 17:40:52</t>
  </si>
  <si>
    <t>1201003</t>
  </si>
  <si>
    <t>WG 1201003 entered track got coupled to WG 1201002 then waited 9:30:29 for WG 1201301 to get coupled then waited 0:04:46 for WG 1201302 to get coupled, OBTP started on 16:55:33 finished on 17:39:33 and then left at 17:40:52</t>
  </si>
  <si>
    <t>1201101</t>
  </si>
  <si>
    <t>WG 1201101 entered track got coupled to WG 1201102, OBTP started on 07:57:47 finished on 08:33:47 and then left at 08:35:03</t>
  </si>
  <si>
    <t>1201102</t>
  </si>
  <si>
    <t>WG 1201102 entered track got coupled to WG 1200903 then waited 0:01:21 for WG 1201101 to get coupled, OBTP started on 07:57:47 finished on 08:33:47 and then left at 08:35:03</t>
  </si>
  <si>
    <t>1201103</t>
  </si>
  <si>
    <t>WG 1201103 entered track got coupled to WG 1200902 then waited 0:00:03 for WG 1201104 to get coupled, OBTP started on 07:57:52 finished on 08:33:52 and then left at 08:36:18</t>
  </si>
  <si>
    <t>1201104</t>
  </si>
  <si>
    <t>WG 1201104 entered track got coupled to WG 1201103, OBTP started on 07:57:52 finished on 08:33:52 and then left at 08:36:18</t>
  </si>
  <si>
    <t>1201201</t>
  </si>
  <si>
    <t>OBT070125132555-Linz</t>
  </si>
  <si>
    <t>WG 1201201 entered track got secured then waited 0:07:32 for WG 1201202 to get coupled then waited 0:01:15 for WG 1201203 to get coupled, OBTP started on 13:27:03 finished on 13:59:03 and then left at 14:00:09</t>
  </si>
  <si>
    <t>1201202</t>
  </si>
  <si>
    <t>WG 1201202 entered track got coupled to WG 1201201 then waited 0:01:15 for WG 1201203 to get coupled, OBTP started on 13:27:03 finished on 13:59:03 and then left at 14:00:09</t>
  </si>
  <si>
    <t>1201203</t>
  </si>
  <si>
    <t>WG 1201203 entered track got coupled to WG 1201202, OBTP started on 13:27:03 finished on 13:59:03 and then left at 14:00:09</t>
  </si>
  <si>
    <t>1201301</t>
  </si>
  <si>
    <t>WG 1201301 entered track got coupled to WG 1201003 then waited 0:04:46 for WG 1201302 to get coupled, OBTP started on 16:55:33 finished on 17:39:33 and then left at 17:40:52</t>
  </si>
  <si>
    <t>1201302</t>
  </si>
  <si>
    <t>WG 1201302 entered track got coupled to WG 1201301, OBTP started on 16:55:33 finished on 17:39:33 and then left at 17:40:52</t>
  </si>
  <si>
    <t>1201401</t>
  </si>
  <si>
    <t>OBT080125060513-Salzburg</t>
  </si>
  <si>
    <t>WG 1201401 entered track got secured then waited 9:44:57 for WG 1201503 to get coupled then waited 0:04:30 for WG 1201502 to get coupled, OBTP started on 06:06:28 finished on 06:38:28 and then left at 06:39:34</t>
  </si>
  <si>
    <t>1201402</t>
  </si>
  <si>
    <t>OBT080125060636-Vienna</t>
  </si>
  <si>
    <t>WG 1201402 entered track got secured then waited 9:40:47 for WG 1201501 to get coupled then waited 0:08:27 for WG 1201504 to get coupled, OBTP started on 06:07:51 finished on 06:39:51 and then left at 06:40:54</t>
  </si>
  <si>
    <t>1201501</t>
  </si>
  <si>
    <t>WG 1201501 entered track got coupled to WG 1201402 then waited 0:08:27 for WG 1201504 to get coupled, OBTP started on 06:07:51 finished on 06:39:51 and then left at 06:40:54</t>
  </si>
  <si>
    <t>1201502</t>
  </si>
  <si>
    <t>WG 1201502 entered track got coupled to WG 1201503, OBTP started on 06:06:28 finished on 06:38:28 and then left at 06:39:34</t>
  </si>
  <si>
    <t>1201503</t>
  </si>
  <si>
    <t>WG 1201503 entered track got coupled to WG 1201401 then waited 0:04:30 for WG 1201502 to get coupled, OBTP started on 06:06:28 finished on 06:38:28 and then left at 06:39:34</t>
  </si>
  <si>
    <t>1201504</t>
  </si>
  <si>
    <t>WG 1201504 entered track got coupled to WG 1201501, OBTP started on 06:07:51 finished on 06:39:51 and then left at 06:40:54</t>
  </si>
  <si>
    <t>1201601</t>
  </si>
  <si>
    <t>OBT080125094121-Graz</t>
  </si>
  <si>
    <t>WG 1201601 entered track got secured then waited 0:10:35 for WG 1201602 to get coupled then waited 3:24:47 for WG 1201901 to get coupled then waited 0:04:44 for WG 1201902 to get coupled then waited 0:07:59 for WG 1201903 to get coupled, OBTP started on 09:42:36 finished on 10:42:36 and then left at 10:44:15</t>
  </si>
  <si>
    <t>1201602</t>
  </si>
  <si>
    <t>WG 1201602 entered track got coupled to WG 1201601 then waited 3:24:47 for WG 1201901 to get coupled then waited 0:04:44 for WG 1201902 to get coupled then waited 0:07:59 for WG 1201903 to get coupled, OBTP started on 09:42:36 finished on 10:42:36 and then left at 10:44:15</t>
  </si>
  <si>
    <t>1201701</t>
  </si>
  <si>
    <t>Klagenfurt</t>
  </si>
  <si>
    <t>OBT100125080608-Klagenfurt</t>
  </si>
  <si>
    <t>WG 1201701 entered track got secured then waited 24:07:19 for WG 1202803 to get coupled then waited 26:11:06 for WG 1204503 to get coupled, OBTP started on 08:07:23 finished on 08:39:23 and then left at 08:40:23</t>
  </si>
  <si>
    <t>1201702</t>
  </si>
  <si>
    <t>Budapest</t>
  </si>
  <si>
    <t>OBT080125092627-Budapest</t>
  </si>
  <si>
    <t>WG 1201702 entered track got secured then waited 3:34:40 for WG 1201803 to get coupled then waited 0:01:12 for WG 1201804 to get coupled then waited 0:00:07 for WG 1201802 to get coupled then waited 0:00:22 for WG 1201805 to get coupled, OBTP started on 09:28:25 finished on 10:12:25 and then left at 10:13:44</t>
  </si>
  <si>
    <t>1201801</t>
  </si>
  <si>
    <t>OBT080125144452-Innsbruck</t>
  </si>
  <si>
    <t>WG 1201801 entered track got secured then waited 5:21:40 for WG 1202302 to get coupled then waited 0:04:18 for WG 1202303 to get coupled, OBTP started on 14:46:07 finished on 15:22:07 and then left at 15:23:17</t>
  </si>
  <si>
    <t>1201802</t>
  </si>
  <si>
    <t>WG 1201802 entered track got coupled to WG 1201804 then waited 0:00:22 for WG 1201805 to get coupled, OBTP started on 09:28:25 finished on 10:12:25 and then left at 10:13:44</t>
  </si>
  <si>
    <t>1201803</t>
  </si>
  <si>
    <t>WG 1201803 entered track got coupled to WG 1201702 then waited 0:01:12 for WG 1201804 to get coupled then waited 0:00:07 for WG 1201802 to get coupled then waited 0:00:22 for WG 1201805 to get coupled, OBTP started on 09:28:25 finished on 10:12:25 and then left at 10:13:44</t>
  </si>
  <si>
    <t>1201804</t>
  </si>
  <si>
    <t>WG 1201804 entered track got coupled to WG 1201803 then waited 0:00:07 for WG 1201802 to get coupled then waited 0:00:22 for WG 1201805 to get coupled, OBTP started on 09:28:25 finished on 10:12:25 and then left at 10:13:44</t>
  </si>
  <si>
    <t>1201805</t>
  </si>
  <si>
    <t>WG 1201805 entered track got coupled to WG 1201802, OBTP started on 09:28:25 finished on 10:12:25 and then left at 10:13:44</t>
  </si>
  <si>
    <t>1201901</t>
  </si>
  <si>
    <t>WG 1201901 entered track got coupled to WG 1201602 then waited 0:04:44 for WG 1201902 to get coupled then waited 0:07:59 for WG 1201903 to get coupled, OBTP started on 09:42:36 finished on 10:42:36 and then left at 10:44:15</t>
  </si>
  <si>
    <t>1201902</t>
  </si>
  <si>
    <t>WG 1201902 entered track got coupled to WG 1201901 then waited 0:07:59 for WG 1201903 to get coupled, OBTP started on 09:42:36 finished on 10:42:36 and then left at 10:44:15</t>
  </si>
  <si>
    <t>1201903</t>
  </si>
  <si>
    <t>WG 1201903 entered track got coupled to WG 1201902, OBTP started on 09:42:36 finished on 10:42:36 and then left at 10:44:15</t>
  </si>
  <si>
    <t>1202001</t>
  </si>
  <si>
    <t>OBT080125105426-Budapest</t>
  </si>
  <si>
    <t>WG 1202001 entered track got secured then waited 0:41:14 for WG 1202201 to get coupled then waited 0:08:11 for WG 1202202 to get coupled then waited 0:15:04 for WG 1202203 to get coupled, OBTP started on 10:56:43 finished on 11:48:43 and then left at 11:50:01</t>
  </si>
  <si>
    <t>1202002</t>
  </si>
  <si>
    <t>OBT080125100656-Vienna</t>
  </si>
  <si>
    <t>WG 1202002 entered track got secured then waited 0:07:35 for WG 1202003 to get coupled then waited 0:01:58 for WG 1202004 to get coupled, OBTP started on 10:18:58 finished on 10:58:58 and then left at 11:00:17</t>
  </si>
  <si>
    <t>1202003</t>
  </si>
  <si>
    <t>WG 1202003 entered track got coupled to WG 1202002 then waited 0:01:58 for WG 1202004 to get coupled, OBTP started on 10:18:58 finished on 10:58:58 and then left at 11:00:17</t>
  </si>
  <si>
    <t>1202004</t>
  </si>
  <si>
    <t>WG 1202004 entered track got coupled to WG 1202003, OBTP started on 10:18:58 finished on 10:58:58 and then left at 11:00:17</t>
  </si>
  <si>
    <t>1202101</t>
  </si>
  <si>
    <t>OBT080125102418-Graz</t>
  </si>
  <si>
    <t>WG 1202101 entered track got secured then waited 0:06:26 for WG 1202103 to get coupled, OBTP started on 10:45:06 finished on 11:25:06 and then left at 11:26:25</t>
  </si>
  <si>
    <t>1202102</t>
  </si>
  <si>
    <t>WG 1202102 entered track got coupled then waited 0:01:24 for WG 1202101 to get coupled then waited 0:06:26 for WG 1202103 to get coupled, OBTP started on 10:45:06 finished on 11:25:06 and then left at 11:26:25</t>
  </si>
  <si>
    <t>1202103</t>
  </si>
  <si>
    <t>WG 1202103 entered track got coupled to WG 1202101, OBTP started on 10:45:06 finished on 11:25:06 and then left at 11:26:25</t>
  </si>
  <si>
    <t>1202201</t>
  </si>
  <si>
    <t>WG 1202201 entered track got coupled to WG 1202001 then waited 0:08:11 for WG 1202202 to get coupled then waited 0:15:04 for WG 1202203 to get coupled, OBTP started on 10:56:43 finished on 11:48:43 and then left at 11:50:01</t>
  </si>
  <si>
    <t>1202202</t>
  </si>
  <si>
    <t>WG 1202202 entered track got coupled to WG 1202201 then waited 0:15:04 for WG 1202203 to get coupled, OBTP started on 10:56:43 finished on 11:48:43 and then left at 11:50:01</t>
  </si>
  <si>
    <t>1202203</t>
  </si>
  <si>
    <t>WG 1202203 entered track got coupled to WG 1202202, OBTP started on 10:56:43 finished on 11:48:43 and then left at 11:50:01</t>
  </si>
  <si>
    <t>1202204</t>
  </si>
  <si>
    <t>OBT080125144011-Salzburg</t>
  </si>
  <si>
    <t>WG 1202204 entered track got secured then waited 3:56:06 for WG 1202301 to get coupled, OBTP started on 14:41:26 finished on 15:13:26 and then left at 15:14:36</t>
  </si>
  <si>
    <t>1202301</t>
  </si>
  <si>
    <t>WG 1202301 entered track got coupled to WG 1202204, OBTP started on 14:41:26 finished on 15:13:26 and then left at 15:14:36</t>
  </si>
  <si>
    <t>1202302</t>
  </si>
  <si>
    <t>WG 1202302 entered track got coupled to WG 1201801 then waited 0:04:18 for WG 1202303 to get coupled, OBTP started on 14:46:07 finished on 15:22:07 and then left at 15:23:17</t>
  </si>
  <si>
    <t>1202303</t>
  </si>
  <si>
    <t>WG 1202303 entered track got coupled to WG 1202302, OBTP started on 14:46:07 finished on 15:22:07 and then left at 15:23:17</t>
  </si>
  <si>
    <t>1202401</t>
  </si>
  <si>
    <t>OBT080125182434-Graz</t>
  </si>
  <si>
    <t>WG 1202401 entered track got secured then waited 0:02:26 for WG 1202402 to get coupled, OBTP started on 18:25:46 finished on 18:53:46 and then left at 18:54:49</t>
  </si>
  <si>
    <t>1202402</t>
  </si>
  <si>
    <t>WG 1202402 entered track got coupled to WG 1202401, OBTP started on 18:25:46 finished on 18:53:46 and then left at 18:54:49</t>
  </si>
  <si>
    <t>1202501</t>
  </si>
  <si>
    <t>OBT080125220441-Budapest</t>
  </si>
  <si>
    <t>WG 1202501 entered track got secured then waited 0:00:28 for WG 1202502 to get coupled then waited 0:06:38 for WG 1202504 to get coupled then waited 0:02:18 for WG 1202503 to get coupled then waited 0:01:05 for WG 1202505 to get coupled, OBTP started on 22:05:54 finished on 23:09:54 and then left at 23:11:25</t>
  </si>
  <si>
    <t>1202502</t>
  </si>
  <si>
    <t>WG 1202502 entered track got coupled to WG 1202501 then waited 0:06:38 for WG 1202504 to get coupled then waited 0:02:18 for WG 1202503 to get coupled then waited 0:01:05 for WG 1202505 to get coupled, OBTP started on 22:05:54 finished on 23:09:54 and then left at 23:11:25</t>
  </si>
  <si>
    <t>1202503</t>
  </si>
  <si>
    <t>WG 1202503 entered track got coupled to WG 1202504 then waited 0:01:05 for WG 1202505 to get coupled, OBTP started on 22:05:54 finished on 23:09:54 and then left at 23:11:25</t>
  </si>
  <si>
    <t>1202504</t>
  </si>
  <si>
    <t>WG 1202504 entered track got coupled to WG 1202502 then waited 0:02:18 for WG 1202503 to get coupled then waited 0:01:05 for WG 1202505 to get coupled, OBTP started on 22:05:54 finished on 23:09:54 and then left at 23:11:25</t>
  </si>
  <si>
    <t>1202505</t>
  </si>
  <si>
    <t>WG 1202505 entered track got coupled to WG 1202503, OBTP started on 22:05:54 finished on 23:09:54 and then left at 23:11:25</t>
  </si>
  <si>
    <t>1202601</t>
  </si>
  <si>
    <t>OBT090125055013-Salzburg</t>
  </si>
  <si>
    <t>WG 1202601 entered track got secured then waited 0:03:40 for WG 1202602 to get coupled then waited 0:26:26 for WG 1202801 to get coupled, OBTP started on 06:31:20 finished on 07:07:20 and then left at 07:08:29</t>
  </si>
  <si>
    <t>1202602</t>
  </si>
  <si>
    <t>WG 1202602 entered track got coupled to WG 1202601 then waited 0:26:26 for WG 1202801 to get coupled, OBTP started on 06:31:20 finished on 07:07:20 and then left at 07:08:29</t>
  </si>
  <si>
    <t>1202603</t>
  </si>
  <si>
    <t>OBT090125062846-Linz</t>
  </si>
  <si>
    <t>WG 1202603 entered track got secured then waited 0:44:06 for WG 1202901 to get coupled then waited 0:07:04 for WG 1202902 to get coupled then waited 0:02:28 for WG 1202903 to get coupled then waited 0:16:35 for WG 1202904 to get coupled, OBTP started on 06:46:14 finished on 07:46:14 and then left at 07:47:40</t>
  </si>
  <si>
    <t>1202701</t>
  </si>
  <si>
    <t>OBT090125054335-Vienna</t>
  </si>
  <si>
    <t>WG 1202701 entered track got secured then waited 0:05:25 for WG 1202702 to get coupled then waited 0:08:15 for WG 1202703 to get coupled, OBTP started on 05:44:50 finished on 06:28:50 and then left at 06:30:08</t>
  </si>
  <si>
    <t>1202702</t>
  </si>
  <si>
    <t>WG 1202702 entered track got coupled to WG 1202701 then waited 0:08:15 for WG 1202703 to get coupled, OBTP started on 05:44:50 finished on 06:28:50 and then left at 06:30:08</t>
  </si>
  <si>
    <t>1202703</t>
  </si>
  <si>
    <t>WG 1202703 entered track got coupled to WG 1202702, OBTP started on 05:44:50 finished on 06:28:50 and then left at 06:30:08</t>
  </si>
  <si>
    <t>1202801</t>
  </si>
  <si>
    <t>WG 1202801 entered track got coupled to WG 1202602, OBTP started on 06:31:20 finished on 07:07:20 and then left at 07:08:29</t>
  </si>
  <si>
    <t>1202802</t>
  </si>
  <si>
    <t>OBT090125062102-Graz</t>
  </si>
  <si>
    <t>WG 1202802 entered track got secured then waited 0:03:39 for WG 1202804 to get coupled then waited 0:08:49 for WG 1203001 to get coupled then waited 0:05:59 for WG 1203002 to get coupled then waited 0:13:00 for WG 1203003 to get coupled, OBTP started on 06:40:00 finished on 07:36:00 and then left at 07:37:36</t>
  </si>
  <si>
    <t>1202803</t>
  </si>
  <si>
    <t>WG 1202803 entered track got coupled to WG 1201701 then waited 26:11:06 for WG 1204503 to get coupled, OBTP started on 08:07:23 finished on 08:39:23 and then left at 08:40:23</t>
  </si>
  <si>
    <t>1202804</t>
  </si>
  <si>
    <t>WG 1202804 entered track got coupled to WG 1202802 then waited 0:08:49 for WG 1203001 to get coupled then waited 0:05:59 for WG 1203002 to get coupled then waited 0:13:00 for WG 1203003 to get coupled, OBTP started on 06:40:00 finished on 07:36:00 and then left at 07:37:36</t>
  </si>
  <si>
    <t>1202901</t>
  </si>
  <si>
    <t>WG 1202901 entered track got coupled to WG 1202603 then waited 0:07:04 for WG 1202902 to get coupled then waited 0:02:28 for WG 1202903 to get coupled then waited 0:16:35 for WG 1202904 to get coupled, OBTP started on 06:46:14 finished on 07:46:14 and then left at 07:47:40</t>
  </si>
  <si>
    <t>1202902</t>
  </si>
  <si>
    <t>WG 1202902 entered track got coupled to WG 1202901 then waited 0:02:28 for WG 1202903 to get coupled then waited 0:16:35 for WG 1202904 to get coupled, OBTP started on 06:46:14 finished on 07:46:14 and then left at 07:47:40</t>
  </si>
  <si>
    <t>1202903</t>
  </si>
  <si>
    <t>WG 1202903 entered track got coupled to WG 1202902 then waited 0:16:35 for WG 1202904 to get coupled, OBTP started on 06:46:14 finished on 07:46:14 and then left at 07:47:40</t>
  </si>
  <si>
    <t>1202904</t>
  </si>
  <si>
    <t>WG 1202904 entered track got coupled to WG 1202903, OBTP started on 06:46:14 finished on 07:46:14 and then left at 07:47:40</t>
  </si>
  <si>
    <t>1203001</t>
  </si>
  <si>
    <t>WG 1203001 entered track got coupled to WG 1202804 then waited 0:05:59 for WG 1203002 to get coupled then waited 0:13:00 for WG 1203003 to get coupled, OBTP started on 06:40:00 finished on 07:36:00 and then left at 07:37:36</t>
  </si>
  <si>
    <t>1203002</t>
  </si>
  <si>
    <t>WG 1203002 entered track got coupled to WG 1203001 then waited 0:13:00 for WG 1203003 to get coupled, OBTP started on 06:40:00 finished on 07:36:00 and then left at 07:37:36</t>
  </si>
  <si>
    <t>1203003</t>
  </si>
  <si>
    <t>WG 1203003 entered track got coupled to WG 1203002, OBTP started on 06:40:00 finished on 07:36:00 and then left at 07:37:36</t>
  </si>
  <si>
    <t>1203101</t>
  </si>
  <si>
    <t>OBT090125134345-Graz</t>
  </si>
  <si>
    <t>WG 1203101 entered track got secured then waited 0:10:38 for WG 1203102 to get coupled then waited 0:17:22 for WG 1203103 to get coupled then waited 7:07:13 for WG 1203704 to get coupled, OBTP started on 13:51:54 finished on 14:27:54 and then left at 14:30:03</t>
  </si>
  <si>
    <t>1203102</t>
  </si>
  <si>
    <t>WG 1203102 entered track got coupled to WG 1203101 then waited 0:17:22 for WG 1203103 to get coupled then waited 7:07:13 for WG 1203704 to get coupled, OBTP started on 13:51:54 finished on 14:27:54 and then left at 14:30:03</t>
  </si>
  <si>
    <t>1203103</t>
  </si>
  <si>
    <t>WG 1203103 entered track got coupled to WG 1203102 then waited 7:07:13 for WG 1203704 to get coupled, OBTP started on 13:51:54 finished on 14:27:54 and then left at 14:30:03</t>
  </si>
  <si>
    <t>1203201</t>
  </si>
  <si>
    <t>OBT090125064354-Vienna</t>
  </si>
  <si>
    <t>WG 1203201 entered track got secured then waited 0:22:32 for WG 1203202 to get coupled then waited 0:06:21 for WG 1203203 to get coupled, OBTP started on 07:38:26 finished on 08:18:26 and then left at 08:19:45</t>
  </si>
  <si>
    <t>1203202</t>
  </si>
  <si>
    <t>WG 1203202 entered track got coupled to WG 1203201 then waited 0:06:21 for WG 1203203 to get coupled, OBTP started on 07:38:26 finished on 08:18:26 and then left at 08:19:45</t>
  </si>
  <si>
    <t>1203203</t>
  </si>
  <si>
    <t>WG 1203203 entered track got coupled to WG 1203202, OBTP started on 07:38:26 finished on 08:18:26 and then left at 08:19:45</t>
  </si>
  <si>
    <t>1203301</t>
  </si>
  <si>
    <t>OBT090125064135-Vienna</t>
  </si>
  <si>
    <t>WG 1203301 entered track got secured then waited 0:13:40 for WG 1203303 to get coupled, OBTP started on 07:09:50 finished on 07:41:50 and then left at 07:43:07</t>
  </si>
  <si>
    <t>1203302</t>
  </si>
  <si>
    <t>OBT100125165301-Innsbruck</t>
  </si>
  <si>
    <t>WG 1203302 entered track got secured then waited 25:00:17 for WG 1204403 to get coupled then waited 9:24:07 for WG 1205202 to get coupled, OBTP started on 16:54:09 finished on 17:34:09 and then left at 17:35:25</t>
  </si>
  <si>
    <t>1203303</t>
  </si>
  <si>
    <t>WG 1203303 entered track got coupled to WG 1203301, OBTP started on 07:09:50 finished on 07:41:50 and then left at 07:43:07</t>
  </si>
  <si>
    <t>1203401</t>
  </si>
  <si>
    <t>OBT090125112436-Budapest</t>
  </si>
  <si>
    <t>WG 1203401 entered track got secured, OBTP started on 11:26:58 finished on 11:58:58 and then left at 12:00:07</t>
  </si>
  <si>
    <t>1203402</t>
  </si>
  <si>
    <t>WG 1203402 entered track got coupled then waited 0:01:51 for WG 1203403 to get coupled then waited 0:00:02 for WG 1203401 to get coupled, OBTP started on 11:26:58 finished on 11:58:58 and then left at 12:00:07</t>
  </si>
  <si>
    <t>1203403</t>
  </si>
  <si>
    <t>WG 1203403 entered track got coupled to WG 1203402 then waited 0:00:02 for WG 1203401 to get coupled, OBTP started on 11:26:58 finished on 11:58:58 and then left at 12:00:07</t>
  </si>
  <si>
    <t>1203404</t>
  </si>
  <si>
    <t>OBT090125113744-Salzburg</t>
  </si>
  <si>
    <t>WG 1203404 entered track got secured then waited 0:05:59 for WG 1203501 to get coupled then waited 0:07:15 for WG 1203504 to get coupled then waited 0:00:59 for WG 1203503 to get coupled, OBTP started on 11:38:59 finished on 12:30:59 and then left at 12:32:21</t>
  </si>
  <si>
    <t>1203501</t>
  </si>
  <si>
    <t>WG 1203501 entered track got coupled to WG 1203404 then waited 0:07:15 for WG 1203504 to get coupled then waited 0:00:59 for WG 1203503 to get coupled, OBTP started on 11:38:59 finished on 12:30:59 and then left at 12:32:21</t>
  </si>
  <si>
    <t>1203502</t>
  </si>
  <si>
    <t>OBT090125134924-Linz</t>
  </si>
  <si>
    <t>WG 1203502 entered track got secured then waited 2:06:45 for WG 1203701 to get coupled then waited 0:18:17 for WG 1203802 to get coupled, OBTP started on 14:30:24 finished on 14:58:24 and then left at 14:59:24</t>
  </si>
  <si>
    <t>1203503</t>
  </si>
  <si>
    <t>WG 1203503 entered track got coupled to WG 1203504, OBTP started on 11:38:59 finished on 12:30:59 and then left at 12:32:21</t>
  </si>
  <si>
    <t>1203504</t>
  </si>
  <si>
    <t>WG 1203504 entered track got coupled to WG 1203501 then waited 0:00:59 for WG 1203503 to get coupled, OBTP started on 11:38:59 finished on 12:30:59 and then left at 12:32:21</t>
  </si>
  <si>
    <t>1203601</t>
  </si>
  <si>
    <t>OBT090125134116-Vienna</t>
  </si>
  <si>
    <t>WG 1203601 entered track got secured then waited 0:07:05 for WG 1203602 to get coupled then waited 0:07:44 for WG 1203702 to get coupled then waited 0:05:16 for WG 1203703 to get coupled, OBTP started on 13:43:57 finished on 14:27:57 and then left at 14:31:19</t>
  </si>
  <si>
    <t>1203602</t>
  </si>
  <si>
    <t>WG 1203602 entered track got coupled to WG 1203601 then waited 0:07:44 for WG 1203702 to get coupled then waited 0:05:16 for WG 1203703 to get coupled, OBTP started on 13:43:57 finished on 14:27:57 and then left at 14:31:19</t>
  </si>
  <si>
    <t>1203603</t>
  </si>
  <si>
    <t>OBT090125133406-Budapest</t>
  </si>
  <si>
    <t>WG 1203603 entered track got secured then waited 0:02:12 for WG 1203604 to get coupled then waited 0:01:07 for WG 1203605 to get coupled, OBTP started on 13:35:22 finished on 14:27:22 and then left at 14:28:47</t>
  </si>
  <si>
    <t>1203604</t>
  </si>
  <si>
    <t>WG 1203604 entered track got coupled to WG 1203603 then waited 0:01:07 for WG 1203605 to get coupled, OBTP started on 13:35:22 finished on 14:27:22 and then left at 14:28:47</t>
  </si>
  <si>
    <t>1203605</t>
  </si>
  <si>
    <t>WG 1203605 entered track got coupled to WG 1203604, OBTP started on 13:35:22 finished on 14:27:22 and then left at 14:28:47</t>
  </si>
  <si>
    <t>1203701</t>
  </si>
  <si>
    <t>WG 1203701 entered track got coupled to WG 1203502 then waited 0:18:17 for WG 1203802 to get coupled, OBTP started on 14:30:24 finished on 14:58:24 and then left at 14:59:24</t>
  </si>
  <si>
    <t>1203702</t>
  </si>
  <si>
    <t>WG 1203702 entered track got coupled to WG 1203602 then waited 0:05:16 for WG 1203703 to get coupled, OBTP started on 13:43:57 finished on 14:27:57 and then left at 14:31:19</t>
  </si>
  <si>
    <t>1203703</t>
  </si>
  <si>
    <t>WG 1203703 entered track got coupled to WG 1203702, OBTP started on 13:43:57 finished on 14:27:57 and then left at 14:31:19</t>
  </si>
  <si>
    <t>1203704</t>
  </si>
  <si>
    <t>WG 1203704 entered track got coupled to WG 1203103, OBTP started on 13:51:54 finished on 14:27:54 and then left at 14:30:03</t>
  </si>
  <si>
    <t>1203801</t>
  </si>
  <si>
    <t>OBT090125225844-Salzburg</t>
  </si>
  <si>
    <t>WG 1203801 entered track got secured then waited 9:11:19 for WG 1204302 to get coupled then waited 0:01:14 for WG 1204303 to get coupled then waited 0:01:15 for WG 1204304 to get coupled then waited 0:03:19 for WG 1204301 to get coupled, OBTP started on 22:59:59 finished on 23:47:59 and then left at 23:49:29</t>
  </si>
  <si>
    <t>1203802</t>
  </si>
  <si>
    <t>WG 1203802 entered track got coupled to WG 1203701, OBTP started on 14:30:24 finished on 14:58:24 and then left at 14:59:24</t>
  </si>
  <si>
    <t>1203901</t>
  </si>
  <si>
    <t>OBT090125144457-Vienna</t>
  </si>
  <si>
    <t>WG 1203901 entered track got secured then waited 0:04:38 for WG 1204002 to get coupled, OBTP started on 14:47:25 finished on 15:23:25 and then left at 15:25:24</t>
  </si>
  <si>
    <t>1203902</t>
  </si>
  <si>
    <t>OBT090125144859-Ljubljana</t>
  </si>
  <si>
    <t>WG 1203902 entered track got secured then waited 0:07:23 for WG 1203903 to get coupled, OBTP started on 14:54:55 finished on 15:22:55 and then left at 15:24:08</t>
  </si>
  <si>
    <t>1203903</t>
  </si>
  <si>
    <t>WG 1203903 entered track got coupled to WG 1203902, OBTP started on 14:54:55 finished on 15:22:55 and then left at 15:24:08</t>
  </si>
  <si>
    <t>1204001</t>
  </si>
  <si>
    <t>OBT090125145240-Graz</t>
  </si>
  <si>
    <t>WG 1204001 entered track got secured then waited 0:11:50 for WG 1204003 to get coupled, OBTP started on 15:00:54 finished on 15:32:54 and then left at 15:34:06</t>
  </si>
  <si>
    <t>1204002</t>
  </si>
  <si>
    <t>WG 1204002 entered track got coupled to WG 1203901, OBTP started on 14:47:25 finished on 15:23:25 and then left at 15:25:24</t>
  </si>
  <si>
    <t>1204003</t>
  </si>
  <si>
    <t>WG 1204003 entered track got coupled to WG 1204001, OBTP started on 15:00:54 finished on 15:32:54 and then left at 15:34:06</t>
  </si>
  <si>
    <t>1204101</t>
  </si>
  <si>
    <t>OBT090125192911-Budapest</t>
  </si>
  <si>
    <t>WG 1204101 entered track got secured then waited 0:03:33 for WG 1204102 to get coupled, OBTP started on 19:35:58 finished on 20:11:58 and then left at 20:13:07</t>
  </si>
  <si>
    <t>1204102</t>
  </si>
  <si>
    <t>WG 1204102 entered track got coupled to WG 1204101, OBTP started on 19:35:58 finished on 20:11:58 and then left at 20:13:07</t>
  </si>
  <si>
    <t>1204201</t>
  </si>
  <si>
    <t>OBT090125194555-Vienna</t>
  </si>
  <si>
    <t>WG 1204201 entered track got secured then waited 0:04:45 for WG 1204202 to get coupled then waited 0:07:42 for WG 1204205 to get coupled, OBTP started on 19:47:10 finished on 20:31:10 and then left at 20:32:23</t>
  </si>
  <si>
    <t>1204202</t>
  </si>
  <si>
    <t>WG 1204202 entered track got coupled to WG 1204201 then waited 0:07:42 for WG 1204205 to get coupled, OBTP started on 19:47:10 finished on 20:31:10 and then left at 20:32:23</t>
  </si>
  <si>
    <t>1204203</t>
  </si>
  <si>
    <t>OBT100125133851-Ljubljana</t>
  </si>
  <si>
    <t>WG 1204203 entered track got secured then waited 18:00:50 for WG 1204804 to get coupled, OBTP started on 13:48:13 finished on 14:32:13 and then left at 14:33:31</t>
  </si>
  <si>
    <t>1204204</t>
  </si>
  <si>
    <t>WG 1204204 entered track got coupled then waited 0:01:51 for WG 1204203 to get coupled then waited 18:00:50 for WG 1204804 to get coupled, OBTP started on 13:48:13 finished on 14:32:13 and then left at 14:33:31</t>
  </si>
  <si>
    <t>1204205</t>
  </si>
  <si>
    <t>WG 1204205 entered track got coupled to WG 1204202, OBTP started on 19:47:10 finished on 20:31:10 and then left at 20:32:23</t>
  </si>
  <si>
    <t>1204301</t>
  </si>
  <si>
    <t>WG 1204301 entered track got coupled to WG 1204304, OBTP started on 22:59:59 finished on 23:47:59 and then left at 23:49:29</t>
  </si>
  <si>
    <t>1204302</t>
  </si>
  <si>
    <t>WG 1204302 entered track got coupled to WG 1203801 then waited 0:01:14 for WG 1204303 to get coupled then waited 0:01:15 for WG 1204304 to get coupled then waited 0:03:19 for WG 1204301 to get coupled, OBTP started on 22:59:59 finished on 23:47:59 and then left at 23:49:29</t>
  </si>
  <si>
    <t>1204303</t>
  </si>
  <si>
    <t>WG 1204303 entered track got coupled to WG 1204302 then waited 0:01:15 for WG 1204304 to get coupled then waited 0:03:19 for WG 1204301 to get coupled, OBTP started on 22:59:59 finished on 23:47:59 and then left at 23:49:29</t>
  </si>
  <si>
    <t>1204304</t>
  </si>
  <si>
    <t>WG 1204304 entered track got coupled to WG 1204303 then waited 0:03:19 for WG 1204301 to get coupled, OBTP started on 22:59:59 finished on 23:47:59 and then left at 23:49:29</t>
  </si>
  <si>
    <t>1204401</t>
  </si>
  <si>
    <t>OBT100125093452-Graz</t>
  </si>
  <si>
    <t>WG 1204401 entered track got secured then waited 0:10:11 for WG 1204404 to get coupled then waited 2:01:10 for WG 1204701 to get coupled, OBTP started on 09:36:06 finished on 10:12:06 and then left at 10:13:15</t>
  </si>
  <si>
    <t>1204402</t>
  </si>
  <si>
    <t>OBT100125152948-Budapest</t>
  </si>
  <si>
    <t>WG 1204402 entered track got secured then waited 1:15:57 for WG 1204601 to get coupled then waited 6:46:40 for WG 1205002 to get coupled, OBTP started on 15:31:03 finished on 16:03:03 and then left at 16:04:06</t>
  </si>
  <si>
    <t>1204403</t>
  </si>
  <si>
    <t>WG 1204403 entered track got coupled to WG 1203302 then waited 9:24:07 for WG 1205202 to get coupled, OBTP started on 16:54:09 finished on 17:34:09 and then left at 17:35:25</t>
  </si>
  <si>
    <t>1204404</t>
  </si>
  <si>
    <t>WG 1204404 entered track got coupled to WG 1204401 then waited 2:01:10 for WG 1204701 to get coupled, OBTP started on 09:36:06 finished on 10:12:06 and then left at 10:13:15</t>
  </si>
  <si>
    <t>1204501</t>
  </si>
  <si>
    <t>OBT100125134543-Vienna</t>
  </si>
  <si>
    <t>WG 1204501 entered track got secured then waited 5:42:30 for WG 1204905 to get coupled then waited 0:01:55 for WG 1204904 to get coupled, OBTP started on 14:15:58 finished on 14:59:58 and then left at 15:01:24</t>
  </si>
  <si>
    <t>1204502</t>
  </si>
  <si>
    <t>OBT100125133535-Salzburg</t>
  </si>
  <si>
    <t>WG 1204502 entered track got secured then waited 0:53:44 for WG 1204602 to get coupled then waited 4:43:30 for WG 1204902 to get coupled, OBTP started on 13:41:28 finished on 14:13:28 and then left at 14:14:40</t>
  </si>
  <si>
    <t>1204503</t>
  </si>
  <si>
    <t>WG 1204503 entered track got coupled to WG 1202803, OBTP started on 08:07:23 finished on 08:39:23 and then left at 08:40:23</t>
  </si>
  <si>
    <t>1204601</t>
  </si>
  <si>
    <t>WG 1204601 entered track got coupled to WG 1204402 then waited 6:46:40 for WG 1205002 to get coupled, OBTP started on 15:31:03 finished on 16:03:03 and then left at 16:04:06</t>
  </si>
  <si>
    <t>1204602</t>
  </si>
  <si>
    <t>WG 1204602 entered track got coupled to WG 1204502 then waited 4:43:30 for WG 1204902 to get coupled, OBTP started on 13:41:28 finished on 14:13:28 and then left at 14:14:40</t>
  </si>
  <si>
    <t>1204701</t>
  </si>
  <si>
    <t>WG 1204701 entered track got coupled to WG 1204404, OBTP started on 09:36:06 finished on 10:12:06 and then left at 10:13:15</t>
  </si>
  <si>
    <t>1204702</t>
  </si>
  <si>
    <t>OBT110125130147-Klagenfurt</t>
  </si>
  <si>
    <t>WG 1204702 entered track got secured then waited 22:09:27 for WG 1206002 to get coupled then waited 5:20:10 for WG 1206401 to get coupled, OBTP started on 13:04:16 finished on 13:40:16 and then left at 13:41:19</t>
  </si>
  <si>
    <t>1204703</t>
  </si>
  <si>
    <t>OBT100125133906-Graz</t>
  </si>
  <si>
    <t>WG 1204703 entered track got secured then waited 4:00:19 for WG 1204901 to get coupled then waited 0:06:56 for WG 1204903 to get coupled, OBTP started on 14:12:28 finished on 14:44:28 and then left at 14:45:41</t>
  </si>
  <si>
    <t>1204801</t>
  </si>
  <si>
    <t>OBT100125133050-Linz</t>
  </si>
  <si>
    <t>WG 1204801 entered track got secured then waited 0:02:28 for WG 1204803 to get coupled then waited 0:02:16 for WG 1204802 to get coupled, OBTP started on 13:38:01 finished on 14:10:01 and then left at 14:11:07</t>
  </si>
  <si>
    <t>1204802</t>
  </si>
  <si>
    <t>WG 1204802 entered track got coupled to WG 1204803, OBTP started on 13:38:01 finished on 14:10:01 and then left at 14:11:07</t>
  </si>
  <si>
    <t>1204803</t>
  </si>
  <si>
    <t>WG 1204803 entered track got coupled to WG 1204801 then waited 0:02:16 for WG 1204802 to get coupled, OBTP started on 13:38:01 finished on 14:10:01 and then left at 14:11:07</t>
  </si>
  <si>
    <t>1204804</t>
  </si>
  <si>
    <t>WG 1204804 entered track got coupled to WG 1204203, OBTP started on 13:48:13 finished on 14:32:13 and then left at 14:33:31</t>
  </si>
  <si>
    <t>1204805</t>
  </si>
  <si>
    <t>OBT100125165446-Linz</t>
  </si>
  <si>
    <t>WG 1204805 entered track got secured then waited 3:19:15 for WG 1205201 to get coupled then waited 0:08:33 for WG 1205203 to get coupled, OBTP started on 16:57:14 finished on 17:41:14 and then left at 17:42:40</t>
  </si>
  <si>
    <t>1204901</t>
  </si>
  <si>
    <t>WG 1204901 entered track got coupled to WG 1204703 then waited 0:06:56 for WG 1204903 to get coupled, OBTP started on 14:12:28 finished on 14:44:28 and then left at 14:45:41</t>
  </si>
  <si>
    <t>1204902</t>
  </si>
  <si>
    <t>WG 1204902 entered track got coupled to WG 1204602, OBTP started on 13:41:28 finished on 14:13:28 and then left at 14:14:40</t>
  </si>
  <si>
    <t>1204903</t>
  </si>
  <si>
    <t>WG 1204903 entered track got coupled to WG 1204901, OBTP started on 14:12:28 finished on 14:44:28 and then left at 14:45:41</t>
  </si>
  <si>
    <t>1204904</t>
  </si>
  <si>
    <t>WG 1204904 entered track got coupled to WG 1204905, OBTP started on 14:15:58 finished on 14:59:58 and then left at 15:01:24</t>
  </si>
  <si>
    <t>1204905</t>
  </si>
  <si>
    <t>WG 1204905 entered track got coupled to WG 1204501 then waited 0:01:55 for WG 1204904 to get coupled, OBTP started on 14:15:58 finished on 14:59:58 and then left at 15:01:24</t>
  </si>
  <si>
    <t>1205001</t>
  </si>
  <si>
    <t>OBT110125063847-Ljubljana</t>
  </si>
  <si>
    <t>WG 1205001 entered track got secured then waited 1:53:52 for WG 1205302 to get coupled then waited 13:21:14 for WG 1205701 to get coupled, OBTP started on 06:40:02 finished on 07:08:02 and then left at 07:09:04</t>
  </si>
  <si>
    <t>1205002</t>
  </si>
  <si>
    <t>WG 1205002 entered track got coupled to WG 1204601, OBTP started on 15:31:03 finished on 16:03:03 and then left at 16:04:06</t>
  </si>
  <si>
    <t>1205003</t>
  </si>
  <si>
    <t>OBT100125153947-Graz</t>
  </si>
  <si>
    <t>WG 1205003 entered track got secured then waited 0:10:06 for WG 1205004 to get coupled, OBTP started on 15:41:00 finished on 16:13:00 and then left at 16:14:09</t>
  </si>
  <si>
    <t>1205004</t>
  </si>
  <si>
    <t>WG 1205004 entered track got coupled to WG 1205003, OBTP started on 15:41:00 finished on 16:13:00 and then left at 16:14:09</t>
  </si>
  <si>
    <t>1205101</t>
  </si>
  <si>
    <t>OBT100125161448-Salzburg</t>
  </si>
  <si>
    <t>WG 1205101 entered track got secured then waited 0:11:01 for WG 1205102 to get coupled then waited 0:04:03 for WG 1205103 to get coupled, OBTP started on 16:16:03 finished on 16:56:03 and then left at 16:57:26</t>
  </si>
  <si>
    <t>1205102</t>
  </si>
  <si>
    <t>WG 1205102 entered track got coupled to WG 1205101 then waited 0:04:03 for WG 1205103 to get coupled, OBTP started on 16:16:03 finished on 16:56:03 and then left at 16:57:26</t>
  </si>
  <si>
    <t>1205103</t>
  </si>
  <si>
    <t>WG 1205103 entered track got coupled to WG 1205102, OBTP started on 16:16:03 finished on 16:56:03 and then left at 16:57:26</t>
  </si>
  <si>
    <t>1205201</t>
  </si>
  <si>
    <t>WG 1205201 entered track got coupled to WG 1204805 then waited 0:08:33 for WG 1205203 to get coupled, OBTP started on 16:57:14 finished on 17:41:14 and then left at 17:42:40</t>
  </si>
  <si>
    <t>1205202</t>
  </si>
  <si>
    <t>WG 1205202 entered track got coupled to WG 1204403, OBTP started on 16:54:09 finished on 17:34:09 and then left at 17:35:25</t>
  </si>
  <si>
    <t>1205203</t>
  </si>
  <si>
    <t>WG 1205203 entered track got coupled to WG 1205201, OBTP started on 16:57:14 finished on 17:41:14 and then left at 17:42:40</t>
  </si>
  <si>
    <t>1205301</t>
  </si>
  <si>
    <t>OBT110125122152-Budapest</t>
  </si>
  <si>
    <t>WG 1205301 entered track got secured then waited 0:13:04 for WG 1205303 to get coupled then waited 18:52:24 for WG 1206102 to get coupled, OBTP started on 12:23:04 finished on 12:55:04 and then left at 12:56:06</t>
  </si>
  <si>
    <t>1205302</t>
  </si>
  <si>
    <t>WG 1205302 entered track got coupled to WG 1205001 then waited 13:21:14 for WG 1205701 to get coupled, OBTP started on 06:40:02 finished on 07:08:02 and then left at 07:09:04</t>
  </si>
  <si>
    <t>1205303</t>
  </si>
  <si>
    <t>WG 1205303 entered track got coupled to WG 1205301 then waited 18:52:24 for WG 1206102 to get coupled, OBTP started on 12:23:04 finished on 12:55:04 and then left at 12:56:06</t>
  </si>
  <si>
    <t>1205401</t>
  </si>
  <si>
    <t>OBT110125073855-Salzburg</t>
  </si>
  <si>
    <t>WG 1205401 entered track got secured then waited 0:04:46 for WG 1205402 to get coupled then waited 11:12:40 for WG 1206001 to get coupled, OBTP started on 07:49:54 finished on 08:21:54 and then left at 08:23:03</t>
  </si>
  <si>
    <t>1205402</t>
  </si>
  <si>
    <t>WG 1205402 entered track got coupled to WG 1205401 then waited 11:12:40 for WG 1206001 to get coupled, OBTP started on 07:49:54 finished on 08:21:54 and then left at 08:23:03</t>
  </si>
  <si>
    <t>1205403</t>
  </si>
  <si>
    <t>OBT110125124845-Vienna</t>
  </si>
  <si>
    <t>WG 1205403 entered track got secured then waited 16:16:08 for WG 1206202 to get coupled then waited 0:09:19 for WG 1206201 to get coupled, OBTP started on 12:51:15 finished on 13:31:15 and then left at 13:32:38</t>
  </si>
  <si>
    <t>1205501</t>
  </si>
  <si>
    <t>OBT110125072230-Innsbruck</t>
  </si>
  <si>
    <t>WG 1205501 entered track got secured then waited 0:06:01 for WG 1205503 to get coupled then waited 8:22:23 for WG 1205901 to get coupled then waited 0:01:15 for WG 1205902 to get coupled then waited 0:03:41 for WG 1205903 to get coupled, OBTP started on 07:23:45 finished on 08:07:45 and then left at 08:09:06</t>
  </si>
  <si>
    <t>1205502</t>
  </si>
  <si>
    <t>OBT110125063231-Graz</t>
  </si>
  <si>
    <t>WG 1205502 entered track got secured then waited 7:29:36 for WG 1205601 to get coupled then waited 0:11:49 for WG 1205602 to get coupled, OBTP started on 06:33:43 finished on 07:09:43 and then left at 07:10:59</t>
  </si>
  <si>
    <t>1205503</t>
  </si>
  <si>
    <t>WG 1205503 entered track got coupled to WG 1205501 then waited 8:22:23 for WG 1205901 to get coupled then waited 0:01:15 for WG 1205902 to get coupled then waited 0:03:41 for WG 1205903 to get coupled, OBTP started on 07:23:45 finished on 08:07:45 and then left at 08:09:06</t>
  </si>
  <si>
    <t>1205601</t>
  </si>
  <si>
    <t>WG 1205601 entered track got coupled to WG 1205502 then waited 0:11:49 for WG 1205602 to get coupled, OBTP started on 06:33:43 finished on 07:09:43 and then left at 07:10:59</t>
  </si>
  <si>
    <t>1205602</t>
  </si>
  <si>
    <t>WG 1205602 entered track got coupled to WG 1205601, OBTP started on 06:33:43 finished on 07:09:43 and then left at 07:10:59</t>
  </si>
  <si>
    <t>1205701</t>
  </si>
  <si>
    <t>WG 1205701 entered track got coupled to WG 1205302, OBTP started on 06:40:02 finished on 07:08:02 and then left at 07:09:04</t>
  </si>
  <si>
    <t>1205702</t>
  </si>
  <si>
    <t>OBT110125213928-Graz</t>
  </si>
  <si>
    <t>WG 1205702 entered track got secured then waited 6:05:13 for WG 1206203 to get coupled then waited 5:39:27 for WG 1206701 to get coupled then waited 3:14:27 for WG 1206802 to get coupled then waited 0:02:20 for WG 1206804 to get coupled then waited 0:03:21 for WG 1206803 to get coupled, OBTP started on 21:40:43 finished on 22:44:43 and then left at 22:46:18</t>
  </si>
  <si>
    <t>1205703</t>
  </si>
  <si>
    <t>OBT110125070411-Ljubljana</t>
  </si>
  <si>
    <t>WG 1205703 entered track got secured then waited 0:14:23 for WG 1205802 to get coupled then waited 0:03:01 for WG 1205801 to get coupled then waited 0:08:51 for WG 1205803 to get coupled, OBTP started on 07:06:32 finished on 07:50:32 and then left at 07:51:59</t>
  </si>
  <si>
    <t>1205801</t>
  </si>
  <si>
    <t>WG 1205801 entered track got coupled to WG 1205802 then waited 0:08:51 for WG 1205803 to get coupled, OBTP started on 07:06:32 finished on 07:50:32 and then left at 07:51:59</t>
  </si>
  <si>
    <t>1205802</t>
  </si>
  <si>
    <t>WG 1205802 entered track got coupled to WG 1205703 then waited 0:03:01 for WG 1205801 to get coupled then waited 0:08:51 for WG 1205803 to get coupled, OBTP started on 07:06:32 finished on 07:50:32 and then left at 07:51:59</t>
  </si>
  <si>
    <t>1205803</t>
  </si>
  <si>
    <t>WG 1205803 entered track got coupled to WG 1205801, OBTP started on 07:06:32 finished on 07:50:32 and then left at 07:51:59</t>
  </si>
  <si>
    <t>1205901</t>
  </si>
  <si>
    <t>WG 1205901 entered track got coupled to WG 1205503 then waited 0:01:15 for WG 1205902 to get coupled then waited 0:03:41 for WG 1205903 to get coupled, OBTP started on 07:23:45 finished on 08:07:45 and then left at 08:09:06</t>
  </si>
  <si>
    <t>1205902</t>
  </si>
  <si>
    <t>WG 1205902 entered track got coupled to WG 1205901 then waited 0:03:41 for WG 1205903 to get coupled, OBTP started on 07:23:45 finished on 08:07:45 and then left at 08:09:06</t>
  </si>
  <si>
    <t>1205903</t>
  </si>
  <si>
    <t>WG 1205903 entered track got coupled to WG 1205902, OBTP started on 07:23:45 finished on 08:07:45 and then left at 08:09:06</t>
  </si>
  <si>
    <t>1206001</t>
  </si>
  <si>
    <t>WG 1206001 entered track got coupled to WG 1205402, OBTP started on 07:49:54 finished on 08:21:54 and then left at 08:23:03</t>
  </si>
  <si>
    <t>1206002</t>
  </si>
  <si>
    <t>WG 1206002 entered track got coupled to WG 1204702 then waited 5:20:10 for WG 1206401 to get coupled, OBTP started on 13:04:16 finished on 13:40:16 and then left at 13:41:19</t>
  </si>
  <si>
    <t>1206003</t>
  </si>
  <si>
    <t>OBT110125130150-Salzburg</t>
  </si>
  <si>
    <t>WG 1206003 entered track got secured then waited 5:01:52 for WG 1206301 to get coupled then waited 0:12:25 for WG 1206302 to get coupled, OBTP started on 13:06:55 finished on 13:46:55 and then left at 13:48:08</t>
  </si>
  <si>
    <t>1206101</t>
  </si>
  <si>
    <t>OBT110125130341-Ljubljana</t>
  </si>
  <si>
    <t>WG 1206101 entered track got secured then waited 0:38:26 for WG 1206402 to get coupled, OBTP started on 13:49:20 finished on 14:17:20 and then left at 14:18:26</t>
  </si>
  <si>
    <t>1206102</t>
  </si>
  <si>
    <t>WG 1206102 entered track got coupled to WG 1205303, OBTP started on 12:23:04 finished on 12:55:04 and then left at 12:56:06</t>
  </si>
  <si>
    <t>1206201</t>
  </si>
  <si>
    <t>WG 1206201 entered track got coupled to WG 1206202, OBTP started on 12:51:15 finished on 13:31:15 and then left at 13:32:38</t>
  </si>
  <si>
    <t>1206202</t>
  </si>
  <si>
    <t>WG 1206202 entered track got coupled to WG 1205403 then waited 0:09:19 for WG 1206201 to get coupled, OBTP started on 12:51:15 finished on 13:31:15 and then left at 13:32:38</t>
  </si>
  <si>
    <t>1206203</t>
  </si>
  <si>
    <t>WG 1206203 entered track got coupled to WG 1205702 then waited 5:39:27 for WG 1206701 to get coupled then waited 3:14:27 for WG 1206802 to get coupled then waited 0:02:20 for WG 1206804 to get coupled then waited 0:03:21 for WG 1206803 to get coupled, OBTP started on 21:40:43 finished on 22:44:43 and then left at 22:46:18</t>
  </si>
  <si>
    <t>1206301</t>
  </si>
  <si>
    <t>WG 1206301 entered track got coupled to WG 1206003 then waited 0:12:25 for WG 1206302 to get coupled, OBTP started on 13:06:55 finished on 13:46:55 and then left at 13:48:08</t>
  </si>
  <si>
    <t>1206302</t>
  </si>
  <si>
    <t>WG 1206302 entered track got coupled to WG 1206301, OBTP started on 13:06:55 finished on 13:46:55 and then left at 13:48:08</t>
  </si>
  <si>
    <t>1206401</t>
  </si>
  <si>
    <t>WG 1206401 entered track got coupled to WG 1206002, OBTP started on 13:04:16 finished on 13:40:16 and then left at 13:41:19</t>
  </si>
  <si>
    <t>1206402</t>
  </si>
  <si>
    <t>WG 1206402 entered track got coupled to WG 1206101, OBTP started on 13:49:20 finished on 14:17:20 and then left at 14:18:26</t>
  </si>
  <si>
    <t>1206403</t>
  </si>
  <si>
    <t>OBT120125083724-Klagenfurt</t>
  </si>
  <si>
    <t>WG 1206403 entered track got secured then waited 19:24:59 for WG 1207001 to get coupled then waited 0:03:08 for WG 1207003 to get coupled then waited 0:04:46 for WG 1207004 to get coupled, OBTP started on 08:38:38 finished on 09:18:38 and then left at 09:19:56</t>
  </si>
  <si>
    <t>1206501</t>
  </si>
  <si>
    <t>OBT110125140134-Ljubljana</t>
  </si>
  <si>
    <t>WG 1206501 entered track got secured then waited 0:12:29 for WG 1206502 to get coupled then waited 0:08:18 for WG 1206504 to get coupled, OBTP started on 14:02:47 finished on 14:46:47 and then left at 14:48:09</t>
  </si>
  <si>
    <t>1206502</t>
  </si>
  <si>
    <t>WG 1206502 entered track got coupled to WG 1206501 then waited 0:08:18 for WG 1206504 to get coupled, OBTP started on 14:02:47 finished on 14:46:47 and then left at 14:48:09</t>
  </si>
  <si>
    <t>1206503</t>
  </si>
  <si>
    <t>OBT120125104034-Budapest</t>
  </si>
  <si>
    <t>WG 1206503 entered track got secured then waited 20:52:02 for WG 1207201 to get coupled then waited 0:10:06 for WG 1207203 to get coupled, OBTP started on 10:41:47 finished on 11:13:47 and then left at 11:15:04</t>
  </si>
  <si>
    <t>1206504</t>
  </si>
  <si>
    <t>WG 1206504 entered track got coupled to WG 1206502, OBTP started on 14:02:47 finished on 14:46:47 and then left at 14:48:09</t>
  </si>
  <si>
    <t>1206601</t>
  </si>
  <si>
    <t>OBT110125213615-Vienna</t>
  </si>
  <si>
    <t>WG 1206601 entered track got secured then waited 7:48:16 for WG 1206801 to get coupled, OBTP started on 21:37:30 finished on 22:05:30 and then left at 22:06:29</t>
  </si>
  <si>
    <t>1206602</t>
  </si>
  <si>
    <t>OBT120125100058-Linz</t>
  </si>
  <si>
    <t>WG 1206602 entered track got secured then waited 20:12:01 for WG 1207101 to get coupled, OBTP started on 10:02:13 finished on 10:34:13 and then left at 10:35:26</t>
  </si>
  <si>
    <t>1206701</t>
  </si>
  <si>
    <t>WG 1206701 entered track got coupled to WG 1206203 then waited 3:14:27 for WG 1206802 to get coupled then waited 0:02:20 for WG 1206804 to get coupled then waited 0:03:21 for WG 1206803 to get coupled, OBTP started on 21:40:43 finished on 22:44:43 and then left at 22:46:18</t>
  </si>
  <si>
    <t>1206702</t>
  </si>
  <si>
    <t>OBT120125083621-Innsbruck</t>
  </si>
  <si>
    <t>WG 1206702 entered track got secured then waited 14:14:27 for WG 1207002 to get coupled then waited 0:02:04 for WG 1207005 to get coupled, OBTP started on 08:37:36 finished on 09:13:36 and then left at 09:14:45</t>
  </si>
  <si>
    <t>1206801</t>
  </si>
  <si>
    <t>WG 1206801 entered track got coupled to WG 1206601, OBTP started on 21:37:30 finished on 22:05:30 and then left at 22:06:29</t>
  </si>
  <si>
    <t>1206802</t>
  </si>
  <si>
    <t>WG 1206802 entered track got coupled to WG 1206701 then waited 0:02:20 for WG 1206804 to get coupled then waited 0:03:21 for WG 1206803 to get coupled, OBTP started on 21:40:43 finished on 22:44:43 and then left at 22:46:18</t>
  </si>
  <si>
    <t>1206803</t>
  </si>
  <si>
    <t>WG 1206803 entered track got coupled to WG 1206804, OBTP started on 21:40:43 finished on 22:44:43 and then left at 22:46:18</t>
  </si>
  <si>
    <t>1206804</t>
  </si>
  <si>
    <t>WG 1206804 entered track got coupled to WG 1206802 then waited 0:03:21 for WG 1206803 to get coupled, OBTP started on 21:40:43 finished on 22:44:43 and then left at 22:46:18</t>
  </si>
  <si>
    <t>1206805</t>
  </si>
  <si>
    <t>OBT120125121949-Ljubljana</t>
  </si>
  <si>
    <t>WG 1206805 entered track got secured then waited 14:41:44 for WG 1207401 to get coupled, OBTP started on 12:21:04 finished on 12:57:04 and then left at 12:58:07</t>
  </si>
  <si>
    <t>1206901</t>
  </si>
  <si>
    <t>OBT110125235559-Salzburg</t>
  </si>
  <si>
    <t>WG 1206901 entered track got secured then waited 0:00:03 for WG 1206902 to get coupled, OBTP started on 23:57:14 finished on 00:29:14 and then left at 00:30:17</t>
  </si>
  <si>
    <t>1206902</t>
  </si>
  <si>
    <t>WG 1206902 entered track got coupled to WG 1206901, OBTP started on 23:57:14 finished on 00:29:14 and then left at 00:30:17</t>
  </si>
  <si>
    <t>1206903</t>
  </si>
  <si>
    <t>OBT120125193146-Vienna</t>
  </si>
  <si>
    <t>WG 1206903 entered track got secured then waited 10:04:37 for WG 1207102 to get coupled then waited 9:32:04 for WG 1207602 to get coupled then waited 0:04:44 for WG 1207603 to get coupled, OBTP started on 19:33:01 finished on 20:21:01 and then left at 20:22:23</t>
  </si>
  <si>
    <t>1207001</t>
  </si>
  <si>
    <t>WG 1207001 entered track got coupled to WG 1206403 then waited 0:03:08 for WG 1207003 to get coupled then waited 0:04:46 for WG 1207004 to get coupled, OBTP started on 08:38:38 finished on 09:18:38 and then left at 09:19:56</t>
  </si>
  <si>
    <t>1207002</t>
  </si>
  <si>
    <t>WG 1207002 entered track got coupled to WG 1206702 then waited 0:02:04 for WG 1207005 to get coupled, OBTP started on 08:37:36 finished on 09:13:36 and then left at 09:14:45</t>
  </si>
  <si>
    <t>1207003</t>
  </si>
  <si>
    <t>WG 1207003 entered track got coupled to WG 1207001 then waited 0:04:46 for WG 1207004 to get coupled, OBTP started on 08:38:38 finished on 09:18:38 and then left at 09:19:56</t>
  </si>
  <si>
    <t>1207004</t>
  </si>
  <si>
    <t>WG 1207004 entered track got coupled to WG 1207003, OBTP started on 08:38:38 finished on 09:18:38 and then left at 09:19:56</t>
  </si>
  <si>
    <t>1207005</t>
  </si>
  <si>
    <t>WG 1207005 entered track got coupled to WG 1207002, OBTP started on 08:37:36 finished on 09:13:36 and then left at 09:14:45</t>
  </si>
  <si>
    <t>1207101</t>
  </si>
  <si>
    <t>WG 1207101 entered track got coupled to WG 1206602, OBTP started on 10:02:13 finished on 10:34:13 and then left at 10:35:26</t>
  </si>
  <si>
    <t>1207102</t>
  </si>
  <si>
    <t>WG 1207102 entered track got coupled to WG 1206903 then waited 9:32:04 for WG 1207602 to get coupled then waited 0:04:44 for WG 1207603 to get coupled, OBTP started on 19:33:01 finished on 20:21:01 and then left at 20:22:23</t>
  </si>
  <si>
    <t>1207103</t>
  </si>
  <si>
    <t>1207201</t>
  </si>
  <si>
    <t>WG 1207201 entered track got coupled to WG 1206503 then waited 0:10:06 for WG 1207203 to get coupled, OBTP started on 10:41:47 finished on 11:13:47 and then left at 11:15:04</t>
  </si>
  <si>
    <t>1207202</t>
  </si>
  <si>
    <t>1207203</t>
  </si>
  <si>
    <t>WG 1207203 entered track got coupled to WG 1207201, OBTP started on 10:41:47 finished on 11:13:47 and then left at 11:15:04</t>
  </si>
  <si>
    <t>1207301</t>
  </si>
  <si>
    <t>OBT120125113450-Salzburg</t>
  </si>
  <si>
    <t>WG 1207301 entered track got secured then waited 0:05:29 for WG 1207303 to get coupled, OBTP started on 11:36:05 finished on 12:12:05 and then left at 12:13:25</t>
  </si>
  <si>
    <t>1207302</t>
  </si>
  <si>
    <t>1207303</t>
  </si>
  <si>
    <t>WG 1207303 entered track got coupled to WG 1207301, OBTP started on 11:36:05 finished on 12:12:05 and then left at 12:13:25</t>
  </si>
  <si>
    <t>1207401</t>
  </si>
  <si>
    <t>WG 1207401 entered track got coupled to WG 1206805, OBTP started on 12:21:04 finished on 12:57:04 and then left at 12:58:07</t>
  </si>
  <si>
    <t>1207402</t>
  </si>
  <si>
    <t>1207403</t>
  </si>
  <si>
    <t>OBT120125162748-Ljubljana</t>
  </si>
  <si>
    <t>WG 1207403 entered track got secured then waited 4:08:51 for WG 1207501 to get coupled, OBTP started on 16:29:03 finished on 16:57:03 and then left at 16:58:12</t>
  </si>
  <si>
    <t>1207501</t>
  </si>
  <si>
    <t>WG 1207501 entered track got coupled to WG 1207403, OBTP started on 16:29:03 finished on 16:57:03 and then left at 16:58:12</t>
  </si>
  <si>
    <t>1207502</t>
  </si>
  <si>
    <t>OBT120125223536-Budapest</t>
  </si>
  <si>
    <t>WG 1207502 entered track got secured then waited 3:00:50 for WG 1207601 to get coupled then waited 2:59:03 for WG 1207701 to get coupled then waited 0:02:55 for WG 1207704 to get coupled then waited 0:01:49 for WG 1207702 to get coupled then waited 0:01:13 for WG 1207703 to get coupled then waited 0:05:54 for WG 1207705 to get coupled, OBTP started on 22:36:49 finished on 23:52:49 and then left at 23:54:24</t>
  </si>
  <si>
    <t>1207503</t>
  </si>
  <si>
    <t>1207601</t>
  </si>
  <si>
    <t>WG 1207601 entered track got coupled to WG 1207502 then waited 2:59:03 for WG 1207701 to get coupled then waited 0:02:55 for WG 1207704 to get coupled then waited 0:01:49 for WG 1207702 to get coupled then waited 0:01:13 for WG 1207703 to get coupled then waited 0:05:54 for WG 1207705 to get coupled, OBTP started on 22:36:49 finished on 23:52:49 and then left at 23:54:24</t>
  </si>
  <si>
    <t>1207602</t>
  </si>
  <si>
    <t>WG 1207602 entered track got coupled to WG 1207102 then waited 0:04:44 for WG 1207603 to get coupled, OBTP started on 19:33:01 finished on 20:21:01 and then left at 20:22:23</t>
  </si>
  <si>
    <t>1207603</t>
  </si>
  <si>
    <t>WG 1207603 entered track got coupled to WG 1207602, OBTP started on 19:33:01 finished on 20:21:01 and then left at 20:22:23</t>
  </si>
  <si>
    <t>1207701</t>
  </si>
  <si>
    <t>WG 1207701 entered track got coupled to WG 1207601 then waited 0:02:55 for WG 1207704 to get coupled then waited 0:01:49 for WG 1207702 to get coupled then waited 0:01:13 for WG 1207703 to get coupled then waited 0:05:54 for WG 1207705 to get coupled, OBTP started on 22:36:49 finished on 23:52:49 and then left at 23:54:24</t>
  </si>
  <si>
    <t>1207702</t>
  </si>
  <si>
    <t>WG 1207702 entered track got coupled to WG 1207704 then waited 0:01:13 for WG 1207703 to get coupled then waited 0:05:54 for WG 1207705 to get coupled, OBTP started on 22:36:49 finished on 23:52:49 and then left at 23:54:24</t>
  </si>
  <si>
    <t>1207703</t>
  </si>
  <si>
    <t>WG 1207703 entered track got coupled to WG 1207702 then waited 0:05:54 for WG 1207705 to get coupled, OBTP started on 22:36:49 finished on 23:52:49 and then left at 23:54:24</t>
  </si>
  <si>
    <t>1207704</t>
  </si>
  <si>
    <t>WG 1207704 entered track got coupled to WG 1207701 then waited 0:01:49 for WG 1207702 to get coupled then waited 0:01:13 for WG 1207703 to get coupled then waited 0:05:54 for WG 1207705 to get coupled, OBTP started on 22:36:49 finished on 23:52:49 and then left at 23:54:24</t>
  </si>
  <si>
    <t>1207705</t>
  </si>
  <si>
    <t>WG 1207705 entered track got coupled to WG 1207703, OBTP started on 22:36:49 finished on 23:52:49 and then left at 23:54:24</t>
  </si>
  <si>
    <t>OBTP init</t>
  </si>
  <si>
    <t>Departure drive init</t>
  </si>
  <si>
    <t>615</t>
  </si>
  <si>
    <t>627</t>
  </si>
  <si>
    <t>605</t>
  </si>
  <si>
    <t>613</t>
  </si>
  <si>
    <t>625</t>
  </si>
  <si>
    <t>619</t>
  </si>
  <si>
    <t>623</t>
  </si>
  <si>
    <t>606</t>
  </si>
  <si>
    <t>607</t>
  </si>
  <si>
    <t>609</t>
  </si>
  <si>
    <t>Activity Type</t>
  </si>
  <si>
    <t>From</t>
  </si>
  <si>
    <t>To</t>
  </si>
  <si>
    <t>Count</t>
  </si>
  <si>
    <t>Mean Dist (m)</t>
  </si>
  <si>
    <t>Min Dist (m)</t>
  </si>
  <si>
    <t>Max Dist (m)</t>
  </si>
  <si>
    <t>Mean Duration (hh:mm:ss)</t>
  </si>
  <si>
    <t>Min Duration (hh:mm:ss)</t>
  </si>
  <si>
    <t>Max Duration (hh:mm:ss)</t>
  </si>
  <si>
    <t>Mean Speed (km/h)</t>
  </si>
  <si>
    <t>Min Speed (km/h)</t>
  </si>
  <si>
    <t>Max Speed (km/h)</t>
  </si>
  <si>
    <t>Speed Std (km/h)</t>
  </si>
  <si>
    <t>ArrivalDrive</t>
  </si>
  <si>
    <t>Entry gate</t>
  </si>
  <si>
    <t>DepartureDrive</t>
  </si>
  <si>
    <t>Exit gate</t>
  </si>
  <si>
    <t>PushOffDrive</t>
  </si>
  <si>
    <t>WG Id</t>
  </si>
  <si>
    <t>Parent Train</t>
  </si>
  <si>
    <t>Train Spawn</t>
  </si>
  <si>
    <t>Train Arrived Track</t>
  </si>
  <si>
    <t>WG PushOff Drive Start</t>
  </si>
  <si>
    <t>WG Arrived Classif</t>
  </si>
  <si>
    <t>Parent OBT</t>
  </si>
  <si>
    <t>OBT Formed</t>
  </si>
  <si>
    <t>OBT Leaves Classif (DEPD start)</t>
  </si>
  <si>
    <t>Train Exits Station</t>
  </si>
  <si>
    <t>Arrival Yard (hh:mm:ss)</t>
  </si>
  <si>
    <t>Classif Yard (hh:mm:ss)</t>
  </si>
  <si>
    <t>Summary (hh:mm:ss)</t>
  </si>
  <si>
    <t>Arrival yard mean</t>
  </si>
  <si>
    <t>Arrival yard median</t>
  </si>
  <si>
    <t>Arrival yard min</t>
  </si>
  <si>
    <t>Arrival yard max</t>
  </si>
  <si>
    <t>Classif yard mean</t>
  </si>
  <si>
    <t>Classif yard median</t>
  </si>
  <si>
    <t>Classif yard min</t>
  </si>
  <si>
    <t>Classif yard max</t>
  </si>
  <si>
    <t>ActivityType</t>
  </si>
  <si>
    <t>ActivityId</t>
  </si>
  <si>
    <t>Entity</t>
  </si>
  <si>
    <t>Drive length (m)</t>
  </si>
  <si>
    <t>InitializedAt</t>
  </si>
  <si>
    <t>StartedAt</t>
  </si>
  <si>
    <t>CompletedAt</t>
  </si>
  <si>
    <t>Number of separation joints</t>
  </si>
  <si>
    <t>Act_ARRD_12001_050000_703</t>
  </si>
  <si>
    <t>Act_ARRD_12002_050000_727</t>
  </si>
  <si>
    <t>Act_ARRD_12003_073000_703</t>
  </si>
  <si>
    <t>Act_ARRD_12004_111500_703</t>
  </si>
  <si>
    <t>Act_ARRD_12005_144500_703</t>
  </si>
  <si>
    <t>Act_ARRD_12006_060000_703</t>
  </si>
  <si>
    <t>Act_ARRD_12007_061500_727</t>
  </si>
  <si>
    <t>Act_ARRD_12008_062200_703</t>
  </si>
  <si>
    <t>Act_ARRD_12009_063700_727</t>
  </si>
  <si>
    <t>Act_ARRD_12010_065000_703</t>
  </si>
  <si>
    <t>Act_ARRD_12011_070100_727</t>
  </si>
  <si>
    <t>Act_ARRD_12012_130000_703</t>
  </si>
  <si>
    <t>Act_ARRD_12013_163000_703</t>
  </si>
  <si>
    <t>Act_ARRD_12014_200000_731</t>
  </si>
  <si>
    <t>Act_ARRD_12015_053000_703</t>
  </si>
  <si>
    <t>Act_ARRD_12017_053000_731</t>
  </si>
  <si>
    <t>Act_ARRD_12016_053000_727</t>
  </si>
  <si>
    <t>Act_ARRD_12018_090000_703</t>
  </si>
  <si>
    <t>Act_ARRD_12019_090800_727</t>
  </si>
  <si>
    <t>Act_ARRD_12020_093100_703</t>
  </si>
  <si>
    <t>Act_ARRD_12021_094000_727</t>
  </si>
  <si>
    <t>Act_ARRD_12022_100500_703</t>
  </si>
  <si>
    <t>Act_ARRD_12023_141500_703</t>
  </si>
  <si>
    <t>Act_ARRD_12024_180000_703</t>
  </si>
  <si>
    <t>Act_ARRD_12025_213000_703</t>
  </si>
  <si>
    <t>Act_ARRD_12026_050000_703</t>
  </si>
  <si>
    <t>Act_ARRD_12027_050900_727</t>
  </si>
  <si>
    <t>Act_ARRD_12028_051900_703</t>
  </si>
  <si>
    <t>Act_ARRD_12029_052800_727</t>
  </si>
  <si>
    <t>Act_ARRD_12030_053300_725</t>
  </si>
  <si>
    <t>Act_ARRD_12031_053800_723</t>
  </si>
  <si>
    <t>Act_ARRD_12032_054500_703</t>
  </si>
  <si>
    <t>Act_ARRD_12033_055200_727</t>
  </si>
  <si>
    <t>Act_ARRD_12034_110000_703</t>
  </si>
  <si>
    <t>Act_ARRD_12035_110000_727</t>
  </si>
  <si>
    <t>Act_ARRD_12036_130000_703</t>
  </si>
  <si>
    <t>Act_ARRD_12037_130700_727</t>
  </si>
  <si>
    <t>Act_ARRD_12038_132500_703</t>
  </si>
  <si>
    <t>Act_ARRD_12039_133900_703</t>
  </si>
  <si>
    <t>Act_ARRD_12040_135000_727</t>
  </si>
  <si>
    <t>Act_ARRD_12041_190000_703</t>
  </si>
  <si>
    <t>Act_ARRD_12042_190500_727</t>
  </si>
  <si>
    <t>Act_ARRD_12043_223000_703</t>
  </si>
  <si>
    <t>Act_ARRD_12044_070000_703</t>
  </si>
  <si>
    <t>Act_ARRD_12045_073500_703</t>
  </si>
  <si>
    <t>Act_ARRD_12046_082400_703</t>
  </si>
  <si>
    <t>Act_ARRD_12047_090300_703</t>
  </si>
  <si>
    <t>Act_ARRD_12049_130000_703</t>
  </si>
  <si>
    <t>Act_ARRD_12048_130000_727</t>
  </si>
  <si>
    <t>Act_ARRD_12050_150000_703</t>
  </si>
  <si>
    <t>Act_ARRD_12051_154100_703</t>
  </si>
  <si>
    <t>Act_ARRD_12052_161300_703</t>
  </si>
  <si>
    <t>Act_ARRD_12053_165400_703</t>
  </si>
  <si>
    <t>Act_ARRD_12054_200000_703</t>
  </si>
  <si>
    <t>Act_ARRD_12055_223000_703</t>
  </si>
  <si>
    <t>Act_ARRD_12056_060000_703</t>
  </si>
  <si>
    <t>Act_ARRD_12057_061300_703</t>
  </si>
  <si>
    <t>Act_ARRD_12058_063100_703</t>
  </si>
  <si>
    <t>Act_ARRD_12059_065600_703</t>
  </si>
  <si>
    <t>Act_ARRD_12060_071700_703</t>
  </si>
  <si>
    <t>Act_ARRD_12061_120000_703</t>
  </si>
  <si>
    <t>Act_ARRD_12062_121700_703</t>
  </si>
  <si>
    <t>Act_ARRD_12063_123100_727</t>
  </si>
  <si>
    <t>Act_ARRD_12064_123600_703</t>
  </si>
  <si>
    <t>Act_ARRD_12065_125200_727</t>
  </si>
  <si>
    <t>Act_ARRD_12066_130400_703</t>
  </si>
  <si>
    <t>Act_ARRD_12067_180000_703</t>
  </si>
  <si>
    <t>Act_ARRD_12068_210000_703</t>
  </si>
  <si>
    <t>Act_ARRD_12069_233000_703</t>
  </si>
  <si>
    <t>Act_ARRD_12070_080000_703</t>
  </si>
  <si>
    <t>Act_ARRD_12071_092500_703</t>
  </si>
  <si>
    <t>Act_ARRD_12072_100800_703</t>
  </si>
  <si>
    <t>Act_ARRD_12073_105900_703</t>
  </si>
  <si>
    <t>Act_ARRD_12074_114800_703</t>
  </si>
  <si>
    <t>Act_ARRD_12075_160000_703</t>
  </si>
  <si>
    <t>Act_ARRD_12076_190000_703</t>
  </si>
  <si>
    <t>Act_ARRD_12077_220000_703</t>
  </si>
  <si>
    <t>Coupling</t>
  </si>
  <si>
    <t>Act_COP_1200203_051840_613</t>
  </si>
  <si>
    <t>Act_COP_1200204_051846_615</t>
  </si>
  <si>
    <t>Act_COP_1200102_052325_627</t>
  </si>
  <si>
    <t>Act_COP_1200302_074421_615</t>
  </si>
  <si>
    <t>Act_COP_1200303_074527_615</t>
  </si>
  <si>
    <t>Act_COP_1200402_112724_615</t>
  </si>
  <si>
    <t>Act_COP_1200501_150242_605</t>
  </si>
  <si>
    <t>Act_COP_1200502_150403_615</t>
  </si>
  <si>
    <t>Act_COP_1200503_150511_615</t>
  </si>
  <si>
    <t>Act_COP_1200504_150547_605</t>
  </si>
  <si>
    <t>Act_COP_1200601_061245_613</t>
  </si>
  <si>
    <t>Act_COP_1200602_061502_625</t>
  </si>
  <si>
    <t>Act_COP_1200603_061617_625</t>
  </si>
  <si>
    <t>Act_COP_1200702_062753_615</t>
  </si>
  <si>
    <t>Act_COP_1200803_064351_605</t>
  </si>
  <si>
    <t>Act_COP_1200901_065039_627</t>
  </si>
  <si>
    <t>Act_COP_1201002_070844_606</t>
  </si>
  <si>
    <t>Act_COP_1201003_071034_606</t>
  </si>
  <si>
    <t>Act_COP_1201101_071420_619</t>
  </si>
  <si>
    <t>Act_COP_1201102_071527_619</t>
  </si>
  <si>
    <t>Act_COP_1201103_071620_623</t>
  </si>
  <si>
    <t>Act_COP_1201104_071915_623</t>
  </si>
  <si>
    <t>Act_COP_1201202_131252_615</t>
  </si>
  <si>
    <t>Act_COP_1201203_131407_615</t>
  </si>
  <si>
    <t>Act_COP_1201301_164114_606</t>
  </si>
  <si>
    <t>Act_COP_1201302_164229_606</t>
  </si>
  <si>
    <t>Act_COP_1201602_054834_605</t>
  </si>
  <si>
    <t>Act_COP_1201501_054953_613</t>
  </si>
  <si>
    <t>Act_COP_1201502_055117_615</t>
  </si>
  <si>
    <t>Act_COP_1201503_055225_615</t>
  </si>
  <si>
    <t>Act_COP_1201504_055241_613</t>
  </si>
  <si>
    <t>Act_COP_1201802_091521_625</t>
  </si>
  <si>
    <t>Act_COP_1201803_091629_625</t>
  </si>
  <si>
    <t>Act_COP_1201804_091744_625</t>
  </si>
  <si>
    <t>Act_COP_1201805_091856_625</t>
  </si>
  <si>
    <t>Act_COP_1201901_092021_605</t>
  </si>
  <si>
    <t>Act_COP_1201902_092136_605</t>
  </si>
  <si>
    <t>Act_COP_1201903_092249_605</t>
  </si>
  <si>
    <t>Act_COP_1202003_094800_623</t>
  </si>
  <si>
    <t>Act_COP_1202004_095210_623</t>
  </si>
  <si>
    <t>Act_COP_1202102_100712_619</t>
  </si>
  <si>
    <t>Act_COP_1202103_100926_619</t>
  </si>
  <si>
    <t>Act_COP_1202201_102029_613</t>
  </si>
  <si>
    <t>Act_COP_1202202_102135_613</t>
  </si>
  <si>
    <t>Act_COP_1202203_102634_613</t>
  </si>
  <si>
    <t>Act_COP_1202301_142822_606</t>
  </si>
  <si>
    <t>Act_COP_1202302_142950_615</t>
  </si>
  <si>
    <t>Act_COP_1202303_143058_615</t>
  </si>
  <si>
    <t>Act_COP_1202402_181245_615</t>
  </si>
  <si>
    <t>Act_COP_1202502_214710_615</t>
  </si>
  <si>
    <t>Act_COP_1202503_214816_615</t>
  </si>
  <si>
    <t>Act_COP_1202504_214931_615</t>
  </si>
  <si>
    <t>Act_COP_1202505_215045_615</t>
  </si>
  <si>
    <t>Act_COP_1202602_051305_615</t>
  </si>
  <si>
    <t>Act_COP_1202702_052331_625</t>
  </si>
  <si>
    <t>Act_COP_1202703_052446_625</t>
  </si>
  <si>
    <t>Act_COP_1202801_053931_615</t>
  </si>
  <si>
    <t>Act_COP_1202803_054315_627</t>
  </si>
  <si>
    <t>Act_COP_1202804_054459_605</t>
  </si>
  <si>
    <t>Act_COP_1202901_054805_613</t>
  </si>
  <si>
    <t>Act_COP_1203001_055118_605</t>
  </si>
  <si>
    <t>Act_COP_1202902_055205_613</t>
  </si>
  <si>
    <t>Act_COP_1203002_055227_605</t>
  </si>
  <si>
    <t>Act_COP_1202903_055538_613</t>
  </si>
  <si>
    <t>Act_COP_1203003_055729_605</t>
  </si>
  <si>
    <t>Act_COP_1203102_060416_619</t>
  </si>
  <si>
    <t>Act_COP_1202904_060509_613</t>
  </si>
  <si>
    <t>Act_COP_1203202_061045_623</t>
  </si>
  <si>
    <t>Act_COP_1203103_061208_619</t>
  </si>
  <si>
    <t>Act_COP_1203303_061715_607</t>
  </si>
  <si>
    <t>Act_COP_1203203_062328_623</t>
  </si>
  <si>
    <t>Act_COP_1203402_111512_625</t>
  </si>
  <si>
    <t>Act_COP_1203403_111619_625</t>
  </si>
  <si>
    <t>Act_COP_1203501_111741_615</t>
  </si>
  <si>
    <t>Act_COP_1203503_112023_615</t>
  </si>
  <si>
    <t>Act_COP_1203504_112456_615</t>
  </si>
  <si>
    <t>Act_COP_1203602_131629_615</t>
  </si>
  <si>
    <t>Act_COP_1203604_131903_625</t>
  </si>
  <si>
    <t>Act_COP_1203605_132011_625</t>
  </si>
  <si>
    <t>Act_COP_1203701_132249_613</t>
  </si>
  <si>
    <t>Act_COP_1203702_132412_615</t>
  </si>
  <si>
    <t>Act_COP_1203703_132527_615</t>
  </si>
  <si>
    <t>Act_COP_1203704_132610_619</t>
  </si>
  <si>
    <t>Act_COP_1203802_133736_613</t>
  </si>
  <si>
    <t>Act_COP_1204002_142939_623</t>
  </si>
  <si>
    <t>Act_COP_1203903_142952_607</t>
  </si>
  <si>
    <t>Act_COP_1204003_143010_609</t>
  </si>
  <si>
    <t>Act_COP_1204102_191354_615</t>
  </si>
  <si>
    <t>Act_COP_1204202_192626_613</t>
  </si>
  <si>
    <t>Act_COP_1204204_192838_625</t>
  </si>
  <si>
    <t>Act_COP_1204205_192849_613</t>
  </si>
  <si>
    <t>Act_COP_1204301_224327_605</t>
  </si>
  <si>
    <t>Act_COP_1204302_224439_605</t>
  </si>
  <si>
    <t>Act_COP_1204303_224554_605</t>
  </si>
  <si>
    <t>Act_COP_1204304_224707_605</t>
  </si>
  <si>
    <t>Act_COP_1204403_072039_606</t>
  </si>
  <si>
    <t>Act_COP_1204404_072154_615</t>
  </si>
  <si>
    <t>Act_COP_1204503_075422_627</t>
  </si>
  <si>
    <t>Act_COP_1204601_083453_613</t>
  </si>
  <si>
    <t>Act_COP_1204602_083645_623</t>
  </si>
  <si>
    <t>Act_COP_1204701_091933_615</t>
  </si>
  <si>
    <t>Act_COP_1204802_131904_615</t>
  </si>
  <si>
    <t>Act_COP_1204804_132000_625</t>
  </si>
  <si>
    <t>Act_COP_1204803_132016_615</t>
  </si>
  <si>
    <t>Act_COP_1204901_132438_619</t>
  </si>
  <si>
    <t>Act_COP_1204902_132623_623</t>
  </si>
  <si>
    <t>Act_COP_1204903_132823_619</t>
  </si>
  <si>
    <t>Act_COP_1204904_133023_605</t>
  </si>
  <si>
    <t>Act_COP_1204905_133138_605</t>
  </si>
  <si>
    <t>Act_COP_1205002_151905_613</t>
  </si>
  <si>
    <t>Act_COP_1205004_152239_625</t>
  </si>
  <si>
    <t>Act_COP_1205102_155528_605</t>
  </si>
  <si>
    <t>Act_COP_1205103_155640_605</t>
  </si>
  <si>
    <t>Act_COP_1205201_163216_607</t>
  </si>
  <si>
    <t>Act_COP_1205202_163410_606</t>
  </si>
  <si>
    <t>Act_COP_1205203_163556_607</t>
  </si>
  <si>
    <t>Act_COP_1205302_170918_615</t>
  </si>
  <si>
    <t>Act_COP_1205303_171039_613</t>
  </si>
  <si>
    <t>Act_COP_1205402_201427_625</t>
  </si>
  <si>
    <t>Act_COP_1205503_224655_623</t>
  </si>
  <si>
    <t>Act_COP_1205601_061226_619</t>
  </si>
  <si>
    <t>Act_COP_1205602_061340_619</t>
  </si>
  <si>
    <t>Act_COP_1205701_062700_615</t>
  </si>
  <si>
    <t>Act_COP_1205801_064333_607</t>
  </si>
  <si>
    <t>Act_COP_1205802_064446_607</t>
  </si>
  <si>
    <t>Act_COP_1205803_064555_607</t>
  </si>
  <si>
    <t>Act_COP_1205901_070803_623</t>
  </si>
  <si>
    <t>Act_COP_1205902_071032_623</t>
  </si>
  <si>
    <t>Act_COP_1205903_071147_623</t>
  </si>
  <si>
    <t>Act_COP_1206001_073125_625</t>
  </si>
  <si>
    <t>Act_COP_1206002_073319_627</t>
  </si>
  <si>
    <t>Act_COP_1206102_121334_613</t>
  </si>
  <si>
    <t>Act_COP_1206201_122954_605</t>
  </si>
  <si>
    <t>Act_COP_1206202_123109_605</t>
  </si>
  <si>
    <t>Act_COP_1206203_123137_606</t>
  </si>
  <si>
    <t>Act_COP_1206301_124152_615</t>
  </si>
  <si>
    <t>Act_COP_1206302_124301_615</t>
  </si>
  <si>
    <t>Act_COP_1206401_125103_627</t>
  </si>
  <si>
    <t>Act_COP_1206402_125304_625</t>
  </si>
  <si>
    <t>Act_COP_1206502_133345_619</t>
  </si>
  <si>
    <t>Act_COP_1206504_134243_619</t>
  </si>
  <si>
    <t>Act_COP_1206701_181105_606</t>
  </si>
  <si>
    <t>Act_COP_1206801_212055_613</t>
  </si>
  <si>
    <t>Act_COP_1206802_212304_606</t>
  </si>
  <si>
    <t>Act_COP_1206803_212411_606</t>
  </si>
  <si>
    <t>Act_COP_1206804_212523_606</t>
  </si>
  <si>
    <t>Act_COP_1206902_234412_613</t>
  </si>
  <si>
    <t>Act_COP_1207001_082114_623</t>
  </si>
  <si>
    <t>Act_COP_1207002_082229_615</t>
  </si>
  <si>
    <t>Act_COP_1207003_082423_623</t>
  </si>
  <si>
    <t>Act_COP_1207005_082538_615</t>
  </si>
  <si>
    <t>Act_COP_1207004_082536_623</t>
  </si>
  <si>
    <t>Act_COP_1207101_094209_609</t>
  </si>
  <si>
    <t>Act_COP_1207102_094414_625</t>
  </si>
  <si>
    <t>Act_COP_1207201_102213_607</t>
  </si>
  <si>
    <t>Act_COP_1207203_102514_607</t>
  </si>
  <si>
    <t>Act_COP_1207302_111740_613</t>
  </si>
  <si>
    <t>Act_COP_1207303_111930_605</t>
  </si>
  <si>
    <t>Act_COP_1207401_120430_627</t>
  </si>
  <si>
    <t>Act_COP_1207501_161601_619</t>
  </si>
  <si>
    <t>Act_COP_1207601_191256_627</t>
  </si>
  <si>
    <t>Act_COP_1207602_191513_625</t>
  </si>
  <si>
    <t>Act_COP_1207603_191628_625</t>
  </si>
  <si>
    <t>Act_COP_1207701_221528_627</t>
  </si>
  <si>
    <t>Act_COP_1207702_221643_627</t>
  </si>
  <si>
    <t>Act_COP_1207703_221755_627</t>
  </si>
  <si>
    <t>Act_COP_1207704_221908_627</t>
  </si>
  <si>
    <t>Act_COP_1207705_222016_627</t>
  </si>
  <si>
    <t>Act_DEPD_OBT060125053035-Ljubljana_060054_615</t>
  </si>
  <si>
    <t>Act_DEPD_OBT060125054216-Graz_061124_627</t>
  </si>
  <si>
    <t>Act_DEPD_OBT060125080127-Innsbruck_084240_615</t>
  </si>
  <si>
    <t>Act_DEPD_OBT060125151637-Graz_154952_605</t>
  </si>
  <si>
    <t>Act_DEPD_OBT060125151657-Salzburg_160212_615</t>
  </si>
  <si>
    <t>Act_DEPD_OBT070125062433-Linz_070146_613</t>
  </si>
  <si>
    <t>Act_DEPD_OBT070125063022-Ljubljana_072052_625</t>
  </si>
  <si>
    <t>Act_DEPD_OBT070125064500-Vienna_075522_615</t>
  </si>
  <si>
    <t>Act_DEPD_OBT070125070630-Graz_075522_627</t>
  </si>
  <si>
    <t>Act_DEPD_OBT070125070930-Vienna_081036_605</t>
  </si>
  <si>
    <t>Act_DEPD_OBT070125072503-Graz_083347_619</t>
  </si>
  <si>
    <t>Act_DEPD_OBT070125073206-Salzburg_083352_623</t>
  </si>
  <si>
    <t>Act_DEPD_OBT070125132555-Linz_135903_615</t>
  </si>
  <si>
    <t>Act_DEPD_OBT070125165418-Vienna_173933_606</t>
  </si>
  <si>
    <t>Act_DEPD_OBT080125060513-Salzburg_063828_615</t>
  </si>
  <si>
    <t>Act_DEPD_OBT080125060636-Vienna_063951_613</t>
  </si>
  <si>
    <t>Act_DEPD_OBT080125092627-Budapest_101225_625</t>
  </si>
  <si>
    <t>Act_DEPD_OBT080125094121-Graz_104236_605</t>
  </si>
  <si>
    <t>Act_DEPD_OBT080125100656-Vienna_105858_623</t>
  </si>
  <si>
    <t>Act_DEPD_OBT080125102418-Graz_112506_619</t>
  </si>
  <si>
    <t>Act_DEPD_OBT080125105426-Budapest_114843_613</t>
  </si>
  <si>
    <t>Act_DEPD_OBT080125144011-Salzburg_151326_606</t>
  </si>
  <si>
    <t>Act_DEPD_OBT080125144452-Innsbruck_152207_615</t>
  </si>
  <si>
    <t>Act_DEPD_OBT080125182434-Graz_185346_615</t>
  </si>
  <si>
    <t>Act_DEPD_OBT080125220441-Budapest_230954_615</t>
  </si>
  <si>
    <t>Act_DEPD_OBT090125054335-Vienna_062850_625</t>
  </si>
  <si>
    <t>Act_DEPD_OBT090125055013-Salzburg_070720_615</t>
  </si>
  <si>
    <t>Act_DEPD_OBT090125062102-Graz_073600_605</t>
  </si>
  <si>
    <t>Act_DEPD_OBT090125064135-Vienna_074150_607</t>
  </si>
  <si>
    <t>Act_DEPD_OBT090125062846-Linz_074614_613</t>
  </si>
  <si>
    <t>Act_DEPD_OBT090125064354-Vienna_081826_623</t>
  </si>
  <si>
    <t>Act_DEPD_OBT090125112436-Budapest_115858_625</t>
  </si>
  <si>
    <t>Act_DEPD_OBT090125113744-Salzburg_123059_615</t>
  </si>
  <si>
    <t>Act_DEPD_OBT090125133406-Budapest_142722_625</t>
  </si>
  <si>
    <t>Act_DEPD_OBT090125134345-Graz_142754_619</t>
  </si>
  <si>
    <t>Act_DEPD_OBT090125134116-Vienna_142757_615</t>
  </si>
  <si>
    <t>Act_DEPD_OBT090125134924-Linz_145824_613</t>
  </si>
  <si>
    <t>Act_DEPD_OBT090125144859-Ljubljana_152255_607</t>
  </si>
  <si>
    <t>Act_DEPD_OBT090125144457-Vienna_152325_623</t>
  </si>
  <si>
    <t>Act_DEPD_OBT090125145240-Graz_153254_609</t>
  </si>
  <si>
    <t>Act_DEPD_OBT090125192911-Budapest_201158_615</t>
  </si>
  <si>
    <t>Act_DEPD_OBT090125194555-Vienna_203110_613</t>
  </si>
  <si>
    <t>Act_DEPD_OBT090125225844-Salzburg_234759_605</t>
  </si>
  <si>
    <t>Act_DEPD_OBT100125080608-Klagenfurt_083923_627</t>
  </si>
  <si>
    <t>Act_DEPD_OBT100125093452-Graz_101206_615</t>
  </si>
  <si>
    <t>Act_DEPD_OBT100125133050-Linz_141001_615</t>
  </si>
  <si>
    <t>Act_DEPD_OBT100125133535-Salzburg_141328_623</t>
  </si>
  <si>
    <t>Act_DEPD_OBT100125133851-Ljubljana_143213_625</t>
  </si>
  <si>
    <t>Act_DEPD_OBT100125133906-Graz_144428_619</t>
  </si>
  <si>
    <t>Act_DEPD_OBT100125134543-Vienna_145958_605</t>
  </si>
  <si>
    <t>Act_DEPD_OBT100125152948-Budapest_160303_613</t>
  </si>
  <si>
    <t>Act_DEPD_OBT100125153947-Graz_161300_625</t>
  </si>
  <si>
    <t>Act_DEPD_OBT100125161448-Salzburg_165603_605</t>
  </si>
  <si>
    <t>Act_DEPD_OBT100125165301-Innsbruck_173409_606</t>
  </si>
  <si>
    <t>Act_DEPD_OBT100125165446-Linz_174114_607</t>
  </si>
  <si>
    <t>Act_DEPD_OBT110125063847-Ljubljana_070802_615</t>
  </si>
  <si>
    <t>Act_DEPD_OBT110125063231-Graz_070943_619</t>
  </si>
  <si>
    <t>Act_DEPD_OBT110125070411-Ljubljana_075032_607</t>
  </si>
  <si>
    <t>Act_DEPD_OBT110125072230-Innsbruck_080745_623</t>
  </si>
  <si>
    <t>Act_DEPD_OBT110125073855-Salzburg_082154_625</t>
  </si>
  <si>
    <t>Act_DEPD_OBT110125122152-Budapest_125504_613</t>
  </si>
  <si>
    <t>Act_DEPD_OBT110125124845-Vienna_133115_605</t>
  </si>
  <si>
    <t>Act_DEPD_OBT110125130147-Klagenfurt_134016_627</t>
  </si>
  <si>
    <t>Act_DEPD_OBT110125130150-Salzburg_134655_615</t>
  </si>
  <si>
    <t>Act_DEPD_OBT110125130341-Ljubljana_141720_625</t>
  </si>
  <si>
    <t>Act_DEPD_OBT110125140134-Ljubljana_144647_619</t>
  </si>
  <si>
    <t>Act_DEPD_OBT110125213615-Vienna_220530_613</t>
  </si>
  <si>
    <t>Act_DEPD_OBT110125213928-Graz_224443_606</t>
  </si>
  <si>
    <t>Act_DEPD_OBT110125235559-Salzburg_002914_613</t>
  </si>
  <si>
    <t>Act_DEPD_OBT120125083621-Innsbruck_091336_615</t>
  </si>
  <si>
    <t>Act_DEPD_OBT120125083724-Klagenfurt_091838_623</t>
  </si>
  <si>
    <t>Act_DEPD_OBT120125100058-Linz_103413_609</t>
  </si>
  <si>
    <t>Act_DEPD_OBT120125104034-Budapest_111347_607</t>
  </si>
  <si>
    <t>Act_DEPD_OBT120125113450-Salzburg_121205_605</t>
  </si>
  <si>
    <t>Act_DEPD_OBT120125121949-Ljubljana_125704_627</t>
  </si>
  <si>
    <t>Act_DEPD_OBT120125162748-Ljubljana_165703_619</t>
  </si>
  <si>
    <t>Act_DEPD_OBT120125193146-Vienna_202101_625</t>
  </si>
  <si>
    <t>Act_DEPD_OBT120125223536-Budapest_235249_627</t>
  </si>
  <si>
    <t>IncomingTrainPreparation</t>
  </si>
  <si>
    <t>Act_ITP_12002_050221_727</t>
  </si>
  <si>
    <t>Act_ITP_12001_050302_703</t>
  </si>
  <si>
    <t>Act_ITP_12003_073249_703</t>
  </si>
  <si>
    <t>Act_ITP_12004_111737_703</t>
  </si>
  <si>
    <t>Act_ITP_12005_144753_703</t>
  </si>
  <si>
    <t>Act_ITP_12006_060249_703</t>
  </si>
  <si>
    <t>Act_ITP_12007_061705_727</t>
  </si>
  <si>
    <t>Act_ITP_12008_062502_703</t>
  </si>
  <si>
    <t>Act_ITP_12009_063905_727</t>
  </si>
  <si>
    <t>Act_ITP_12010_065237_703</t>
  </si>
  <si>
    <t>Act_ITP_12011_070318_727</t>
  </si>
  <si>
    <t>Act_ITP_12012_130243_703</t>
  </si>
  <si>
    <t>Act_ITP_12013_163233_703</t>
  </si>
  <si>
    <t>Act_ITP_12014_200158_731</t>
  </si>
  <si>
    <t>Act_ITP_12017_053158_731</t>
  </si>
  <si>
    <t>Act_ITP_12016_053159_727</t>
  </si>
  <si>
    <t>Act_ITP_12015_053256_703</t>
  </si>
  <si>
    <t>Act_ITP_12018_090253_703</t>
  </si>
  <si>
    <t>Act_ITP_12019_091008_727</t>
  </si>
  <si>
    <t>Act_ITP_12020_093356_703</t>
  </si>
  <si>
    <t>Act_ITP_12021_094212_727</t>
  </si>
  <si>
    <t>Act_ITP_12022_100809_703</t>
  </si>
  <si>
    <t>Act_ITP_12023_141749_703</t>
  </si>
  <si>
    <t>Act_ITP_12024_180240_703</t>
  </si>
  <si>
    <t>Act_ITP_12025_213309_703</t>
  </si>
  <si>
    <t>Act_ITP_12026_050243_703</t>
  </si>
  <si>
    <t>Act_ITP_12027_051115_727</t>
  </si>
  <si>
    <t>Act_ITP_12028_052153_703</t>
  </si>
  <si>
    <t>Act_ITP_12029_053021_727</t>
  </si>
  <si>
    <t>Act_ITP_12030_053454_725</t>
  </si>
  <si>
    <t>Act_ITP_12031_053937_723</t>
  </si>
  <si>
    <t>Act_ITP_12032_054749_703</t>
  </si>
  <si>
    <t>Act_ITP_12033_055415_727</t>
  </si>
  <si>
    <t>Act_ITP_12035_110218_727</t>
  </si>
  <si>
    <t>Act_ITP_12034_110253_703</t>
  </si>
  <si>
    <t>Act_ITP_12036_130315_703</t>
  </si>
  <si>
    <t>Act_ITP_12037_130915_727</t>
  </si>
  <si>
    <t>Act_ITP_12038_132733_703</t>
  </si>
  <si>
    <t>Act_ITP_12039_134156_703</t>
  </si>
  <si>
    <t>Act_ITP_12040_135218_727</t>
  </si>
  <si>
    <t>Act_ITP_12041_190246_703</t>
  </si>
  <si>
    <t>Act_ITP_12042_190734_727</t>
  </si>
  <si>
    <t>Act_ITP_12043_223249_703</t>
  </si>
  <si>
    <t>Act_ITP_12044_070249_703</t>
  </si>
  <si>
    <t>Act_ITP_12045_073746_703</t>
  </si>
  <si>
    <t>Act_ITP_12046_082637_703</t>
  </si>
  <si>
    <t>Act_ITP_12047_090553_703</t>
  </si>
  <si>
    <t>Act_ITP_12048_130228_727</t>
  </si>
  <si>
    <t>Act_ITP_12049_130302_703</t>
  </si>
  <si>
    <t>Act_ITP_12050_150259_703</t>
  </si>
  <si>
    <t>Act_ITP_12051_154349_703</t>
  </si>
  <si>
    <t>Act_ITP_12052_161602_703</t>
  </si>
  <si>
    <t>Act_ITP_12053_165643_703</t>
  </si>
  <si>
    <t>Act_ITP_12054_200246_703</t>
  </si>
  <si>
    <t>Act_ITP_12055_223237_703</t>
  </si>
  <si>
    <t>Act_ITP_12056_060240_703</t>
  </si>
  <si>
    <t>Act_ITP_12057_061543_703</t>
  </si>
  <si>
    <t>Act_ITP_12058_063343_703</t>
  </si>
  <si>
    <t>Act_ITP_12059_065840_703</t>
  </si>
  <si>
    <t>Act_ITP_12060_071940_703</t>
  </si>
  <si>
    <t>Act_ITP_12061_120240_703</t>
  </si>
  <si>
    <t>Act_ITP_12062_121946_703</t>
  </si>
  <si>
    <t>Act_ITP_12063_123302_727</t>
  </si>
  <si>
    <t>Act_ITP_12064_123843_703</t>
  </si>
  <si>
    <t>Act_ITP_12065_125421_727</t>
  </si>
  <si>
    <t>Act_ITP_12066_130637_703</t>
  </si>
  <si>
    <t>Act_ITP_12067_180233_703</t>
  </si>
  <si>
    <t>Act_ITP_12068_210318_703</t>
  </si>
  <si>
    <t>Act_ITP_12069_233249_703</t>
  </si>
  <si>
    <t>Act_ITP_12070_080259_703</t>
  </si>
  <si>
    <t>Act_ITP_12071_092753_703</t>
  </si>
  <si>
    <t>Act_ITP_12072_101043_703</t>
  </si>
  <si>
    <t>Act_ITP_12073_110153_703</t>
  </si>
  <si>
    <t>Act_ITP_12074_115053_703</t>
  </si>
  <si>
    <t>Act_ITP_12075_160246_703</t>
  </si>
  <si>
    <t>Act_ITP_12076_190249_703</t>
  </si>
  <si>
    <t>Act_ITP_12077_220302_703</t>
  </si>
  <si>
    <t>OutboundTrainPreparation</t>
  </si>
  <si>
    <t>Act_OBTP_OBT060125053035-Ljubljana_053035_615</t>
  </si>
  <si>
    <t>Act_OBTP_OBT060125054216-Graz_054216_627</t>
  </si>
  <si>
    <t>Act_OBTP_OBT060125080127-Innsbruck_080127_615</t>
  </si>
  <si>
    <t>Act_OBTP_OBT060125151637-Graz_151637_605</t>
  </si>
  <si>
    <t>Act_OBTP_OBT060125151657-Salzburg_151657_615</t>
  </si>
  <si>
    <t>Act_OBTP_OBT070125062433-Linz_062433_613</t>
  </si>
  <si>
    <t>Act_OBTP_OBT070125063022-Ljubljana_063022_625</t>
  </si>
  <si>
    <t>Act_OBTP_OBT070125064500-Vienna_064500_615</t>
  </si>
  <si>
    <t>Act_OBTP_OBT070125070630-Graz_070630_627</t>
  </si>
  <si>
    <t>Act_OBTP_OBT070125070930-Vienna_070930_605</t>
  </si>
  <si>
    <t>Act_OBTP_OBT070125072503-Graz_072503_619</t>
  </si>
  <si>
    <t>Act_OBTP_OBT070125073206-Salzburg_073206_623</t>
  </si>
  <si>
    <t>Act_OBTP_OBT070125132555-Linz_132555_615</t>
  </si>
  <si>
    <t>Act_OBTP_OBT070125165418-Vienna_165418_606</t>
  </si>
  <si>
    <t>Act_OBTP_OBT080125060513-Salzburg_060513_615</t>
  </si>
  <si>
    <t>Act_OBTP_OBT080125060636-Vienna_060636_613</t>
  </si>
  <si>
    <t>Act_OBTP_OBT080125092627-Budapest_092627_625</t>
  </si>
  <si>
    <t>Act_OBTP_OBT080125094121-Graz_094121_605</t>
  </si>
  <si>
    <t>Act_OBTP_OBT080125100656-Vienna_100656_623</t>
  </si>
  <si>
    <t>Act_OBTP_OBT080125102418-Graz_102418_619</t>
  </si>
  <si>
    <t>Act_OBTP_OBT080125105426-Budapest_105426_613</t>
  </si>
  <si>
    <t>Act_OBTP_OBT080125144011-Salzburg_144011_606</t>
  </si>
  <si>
    <t>Act_OBTP_OBT080125144452-Innsbruck_144452_615</t>
  </si>
  <si>
    <t>Act_OBTP_OBT080125182434-Graz_182434_615</t>
  </si>
  <si>
    <t>Act_OBTP_OBT080125220441-Budapest_220441_615</t>
  </si>
  <si>
    <t>Act_OBTP_OBT090125054335-Vienna_054335_625</t>
  </si>
  <si>
    <t>Act_OBTP_OBT090125055013-Salzburg_055013_615</t>
  </si>
  <si>
    <t>Act_OBTP_OBT090125062102-Graz_062102_605</t>
  </si>
  <si>
    <t>Act_OBTP_OBT090125062846-Linz_062846_613</t>
  </si>
  <si>
    <t>Act_OBTP_OBT090125064135-Vienna_064135_607</t>
  </si>
  <si>
    <t>Act_OBTP_OBT090125064354-Vienna_064354_623</t>
  </si>
  <si>
    <t>Act_OBTP_OBT090125112436-Budapest_112436_625</t>
  </si>
  <si>
    <t>Act_OBTP_OBT090125113744-Salzburg_113744_615</t>
  </si>
  <si>
    <t>Act_OBTP_OBT090125133406-Budapest_133406_625</t>
  </si>
  <si>
    <t>Act_OBTP_OBT090125134116-Vienna_134116_615</t>
  </si>
  <si>
    <t>Act_OBTP_OBT090125134345-Graz_134345_619</t>
  </si>
  <si>
    <t>Act_OBTP_OBT090125134924-Linz_134924_613</t>
  </si>
  <si>
    <t>Act_OBTP_OBT090125144457-Vienna_144457_623</t>
  </si>
  <si>
    <t>Act_OBTP_OBT090125144859-Ljubljana_144859_607</t>
  </si>
  <si>
    <t>Act_OBTP_OBT090125145240-Graz_145240_609</t>
  </si>
  <si>
    <t>Act_OBTP_OBT090125192911-Budapest_192911_615</t>
  </si>
  <si>
    <t>Act_OBTP_OBT090125194555-Vienna_194555_613</t>
  </si>
  <si>
    <t>Act_OBTP_OBT090125225844-Salzburg_225844_605</t>
  </si>
  <si>
    <t>Act_OBTP_OBT100125080608-Klagenfurt_080608_627</t>
  </si>
  <si>
    <t>Act_OBTP_OBT100125093452-Graz_093452_615</t>
  </si>
  <si>
    <t>Act_OBTP_OBT100125133050-Linz_133050_615</t>
  </si>
  <si>
    <t>Act_OBTP_OBT100125133535-Salzburg_133535_623</t>
  </si>
  <si>
    <t>Act_OBTP_OBT100125133851-Ljubljana_133851_625</t>
  </si>
  <si>
    <t>Act_OBTP_OBT100125133906-Graz_133906_619</t>
  </si>
  <si>
    <t>Act_OBTP_OBT100125134543-Vienna_134543_605</t>
  </si>
  <si>
    <t>Act_OBTP_OBT100125152948-Budapest_152948_613</t>
  </si>
  <si>
    <t>Act_OBTP_OBT100125153947-Graz_153947_625</t>
  </si>
  <si>
    <t>Act_OBTP_OBT100125161448-Salzburg_161448_605</t>
  </si>
  <si>
    <t>Act_OBTP_OBT100125165301-Innsbruck_165301_606</t>
  </si>
  <si>
    <t>Act_OBTP_OBT100125165446-Linz_165446_607</t>
  </si>
  <si>
    <t>Act_OBTP_OBT110125063231-Graz_063231_619</t>
  </si>
  <si>
    <t>Act_OBTP_OBT110125063847-Ljubljana_063847_615</t>
  </si>
  <si>
    <t>Act_OBTP_OBT110125070411-Ljubljana_070411_607</t>
  </si>
  <si>
    <t>Act_OBTP_OBT110125072230-Innsbruck_072230_623</t>
  </si>
  <si>
    <t>Act_OBTP_OBT110125073855-Salzburg_073855_625</t>
  </si>
  <si>
    <t>Act_OBTP_OBT110125122152-Budapest_122152_613</t>
  </si>
  <si>
    <t>Act_OBTP_OBT110125124845-Vienna_124845_605</t>
  </si>
  <si>
    <t>Act_OBTP_OBT110125130147-Klagenfurt_130147_627</t>
  </si>
  <si>
    <t>Act_OBTP_OBT110125130150-Salzburg_130150_615</t>
  </si>
  <si>
    <t>Act_OBTP_OBT110125130341-Ljubljana_130341_625</t>
  </si>
  <si>
    <t>Act_OBTP_OBT110125140134-Ljubljana_140134_619</t>
  </si>
  <si>
    <t>Act_OBTP_OBT110125213615-Vienna_213615_613</t>
  </si>
  <si>
    <t>Act_OBTP_OBT110125213928-Graz_213928_606</t>
  </si>
  <si>
    <t>Act_OBTP_OBT110125235559-Salzburg_235559_613</t>
  </si>
  <si>
    <t>Act_OBTP_OBT120125083621-Innsbruck_083621_615</t>
  </si>
  <si>
    <t>Act_OBTP_OBT120125083724-Klagenfurt_083724_623</t>
  </si>
  <si>
    <t>Act_OBTP_OBT120125100058-Linz_100058_609</t>
  </si>
  <si>
    <t>Act_OBTP_OBT120125104034-Budapest_104034_607</t>
  </si>
  <si>
    <t>Act_OBTP_OBT120125113450-Salzburg_113450_605</t>
  </si>
  <si>
    <t>Act_OBTP_OBT120125121949-Ljubljana_121949_627</t>
  </si>
  <si>
    <t>Act_OBTP_OBT120125162748-Ljubljana_162748_619</t>
  </si>
  <si>
    <t>Act_OBTP_OBT120125193146-Vienna_193146_625</t>
  </si>
  <si>
    <t>Act_OBTP_OBT120125223536-Budapest_223536_627</t>
  </si>
  <si>
    <t>PushOff</t>
  </si>
  <si>
    <t>Act_PO_12002_051334_727</t>
  </si>
  <si>
    <t>Act_PO_12001_051618_703</t>
  </si>
  <si>
    <t>Act_PO_12003_074021_703</t>
  </si>
  <si>
    <t>Act_PO_12004_112336_703</t>
  </si>
  <si>
    <t>Act_PO_12005_145937_703</t>
  </si>
  <si>
    <t>Act_PO_12006_061008_703</t>
  </si>
  <si>
    <t>Act_PO_12007_062354_727</t>
  </si>
  <si>
    <t>Act_PO_12008_063648_703</t>
  </si>
  <si>
    <t>Act_PO_12009_064731_727</t>
  </si>
  <si>
    <t>Act_PO_12010_065816_703</t>
  </si>
  <si>
    <t>Act_PO_12011_071101_727</t>
  </si>
  <si>
    <t>Act_PO_12012_130906_703</t>
  </si>
  <si>
    <t>Act_PO_12013_163806_703</t>
  </si>
  <si>
    <t>Act_PO_12014_200710_731</t>
  </si>
  <si>
    <t>Act_PO_12017_053712_731</t>
  </si>
  <si>
    <t>Act_PO_12016_053746_727</t>
  </si>
  <si>
    <t>Act_PO_12015_054523_703</t>
  </si>
  <si>
    <t>Act_PO_12018_091031_703</t>
  </si>
  <si>
    <t>Act_PO_12019_091701_727</t>
  </si>
  <si>
    <t>Act_PO_12020_094202_703</t>
  </si>
  <si>
    <t>Act_PO_12021_094930_727</t>
  </si>
  <si>
    <t>Act_PO_12022_101726_703</t>
  </si>
  <si>
    <t>Act_PO_12023_142521_703</t>
  </si>
  <si>
    <t>Act_PO_12024_180850_703</t>
  </si>
  <si>
    <t>Act_PO_12025_214247_703</t>
  </si>
  <si>
    <t>Act_PO_12026_050912_703</t>
  </si>
  <si>
    <t>Act_PO_12027_051839_727</t>
  </si>
  <si>
    <t>Act_PO_12028_053605_703</t>
  </si>
  <si>
    <t>Act_PO_12029_053856_727</t>
  </si>
  <si>
    <t>Act_PO_12030_054141_725</t>
  </si>
  <si>
    <t>Act_PO_12031_054617_723</t>
  </si>
  <si>
    <t>Act_PO_12032_055501_703</t>
  </si>
  <si>
    <t>Act_PO_12033_060531_727</t>
  </si>
  <si>
    <t>Act_PO_12034_111031_703</t>
  </si>
  <si>
    <t>Act_PO_12035_111430_727</t>
  </si>
  <si>
    <t>Act_PO_12036_131238_703</t>
  </si>
  <si>
    <t>Act_PO_12037_132017_727</t>
  </si>
  <si>
    <t>Act_PO_12038_133316_703</t>
  </si>
  <si>
    <t>Act_PO_12039_135002_703</t>
  </si>
  <si>
    <t>Act_PO_12040_140430_727</t>
  </si>
  <si>
    <t>Act_PO_12041_190951_703</t>
  </si>
  <si>
    <t>Act_PO_12042_192227_727</t>
  </si>
  <si>
    <t>Act_PO_12043_224014_703</t>
  </si>
  <si>
    <t>Act_PO_12044_071509_703</t>
  </si>
  <si>
    <t>Act_PO_12045_074743_703</t>
  </si>
  <si>
    <t>Act_PO_12046_083220_703</t>
  </si>
  <si>
    <t>Act_PO_12047_091709_703</t>
  </si>
  <si>
    <t>Act_PO_12048_131506_727</t>
  </si>
  <si>
    <t>Act_PO_12049_132056_703</t>
  </si>
  <si>
    <t>Act_PO_12050_151518_703</t>
  </si>
  <si>
    <t>Act_PO_12051_155055_703</t>
  </si>
  <si>
    <t>Act_PO_12052_162918_703</t>
  </si>
  <si>
    <t>Act_PO_12053_170530_703</t>
  </si>
  <si>
    <t>Act_PO_12054_200945_703</t>
  </si>
  <si>
    <t>Act_PO_12055_224012_703</t>
  </si>
  <si>
    <t>Act_PO_12056_060859_703</t>
  </si>
  <si>
    <t>Act_PO_12057_062430_703</t>
  </si>
  <si>
    <t>Act_PO_12058_064022_703</t>
  </si>
  <si>
    <t>Act_PO_12059_070445_703</t>
  </si>
  <si>
    <t>Act_PO_12060_072809_703</t>
  </si>
  <si>
    <t>Act_PO_12061_120850_703</t>
  </si>
  <si>
    <t>Act_PO_12062_122639_703</t>
  </si>
  <si>
    <t>Act_PO_12063_123912_727</t>
  </si>
  <si>
    <t>Act_PO_12064_124750_703</t>
  </si>
  <si>
    <t>Act_PO_12065_130640_727</t>
  </si>
  <si>
    <t>Act_PO_12066_131236_703</t>
  </si>
  <si>
    <t>Act_PO_12067_180816_703</t>
  </si>
  <si>
    <t>Act_PO_12068_211815_703</t>
  </si>
  <si>
    <t>Act_PO_12069_234014_703</t>
  </si>
  <si>
    <t>Act_PO_12070_081813_703</t>
  </si>
  <si>
    <t>Act_PO_12071_093923_703</t>
  </si>
  <si>
    <t>Act_PO_12072_101920_703</t>
  </si>
  <si>
    <t>Act_PO_12073_111323_703</t>
  </si>
  <si>
    <t>Act_PO_12074_120113_703</t>
  </si>
  <si>
    <t>Act_PO_12075_161255_703</t>
  </si>
  <si>
    <t>Act_PO_12076_190942_703</t>
  </si>
  <si>
    <t>Act_PO_12077_221149_703</t>
  </si>
  <si>
    <t>Act_POD_1200201_051449_615</t>
  </si>
  <si>
    <t>Act_POD_1200202+1200203_051605_613</t>
  </si>
  <si>
    <t>1200202+1200203</t>
  </si>
  <si>
    <t>Act_POD_1200204_051734_615</t>
  </si>
  <si>
    <t>Act_POD_1200101+1200102_052002_627</t>
  </si>
  <si>
    <t>1200101+1200102</t>
  </si>
  <si>
    <t>Act_POD_1200103_052213_625</t>
  </si>
  <si>
    <t>Act_POD_1200104_052424_605</t>
  </si>
  <si>
    <t>Act_POD_1200301+1200302+1200303_074136_615</t>
  </si>
  <si>
    <t>1200301+1200302+1200303</t>
  </si>
  <si>
    <t>Act_POD_1200401+1200402_112452_615</t>
  </si>
  <si>
    <t>1200401+1200402</t>
  </si>
  <si>
    <t>Act_POD_1200501_150052_605</t>
  </si>
  <si>
    <t>Act_POD_1200502+1200503_150242_615</t>
  </si>
  <si>
    <t>1200502+1200503</t>
  </si>
  <si>
    <t>Act_POD_1200504_150403_605</t>
  </si>
  <si>
    <t>Act_POD_1200601_061124_613</t>
  </si>
  <si>
    <t>Act_POD_1200602+1200603_061245_625</t>
  </si>
  <si>
    <t>1200602+1200603</t>
  </si>
  <si>
    <t>Act_POD_1200701+1200702_062509_615</t>
  </si>
  <si>
    <t>1200701+1200702</t>
  </si>
  <si>
    <t>Act_POD_1200801_063803_605</t>
  </si>
  <si>
    <t>Act_POD_1200802_063956_627</t>
  </si>
  <si>
    <t>Act_POD_1200803_064201_605</t>
  </si>
  <si>
    <t>Act_POD_1200901_064846_627</t>
  </si>
  <si>
    <t>Act_POD_1200902_065039_623</t>
  </si>
  <si>
    <t>Act_POD_1200903_065223_619</t>
  </si>
  <si>
    <t>Act_POD_1201001+1201002+1201003_065931_606</t>
  </si>
  <si>
    <t>1201001+1201002+1201003</t>
  </si>
  <si>
    <t>Act_POD_1201101+1201102_071216_619</t>
  </si>
  <si>
    <t>1201101+1201102</t>
  </si>
  <si>
    <t>Act_POD_1201103+1201104_071420_623</t>
  </si>
  <si>
    <t>1201103+1201104</t>
  </si>
  <si>
    <t>Act_POD_1201201+1201202+1201203_131015_615</t>
  </si>
  <si>
    <t>1201201+1201202+1201203</t>
  </si>
  <si>
    <t>Act_POD_1201301+1201302_163921_606</t>
  </si>
  <si>
    <t>1201301+1201302</t>
  </si>
  <si>
    <t>Act_POD_1201401_200818_615</t>
  </si>
  <si>
    <t>Act_POD_1201402_200949_613</t>
  </si>
  <si>
    <t>Act_POD_1201701_053933_627</t>
  </si>
  <si>
    <t>Act_POD_1201702_054148_625</t>
  </si>
  <si>
    <t>Act_POD_1201601+1201602_054524_605</t>
  </si>
  <si>
    <t>1201601+1201602</t>
  </si>
  <si>
    <t>Act_POD_1201501_054835_613</t>
  </si>
  <si>
    <t>Act_POD_1201502+1201503_054953_615</t>
  </si>
  <si>
    <t>1201502+1201503</t>
  </si>
  <si>
    <t>Act_POD_1201504_055117_613</t>
  </si>
  <si>
    <t>Act_POD_1201801_091146_615</t>
  </si>
  <si>
    <t>Act_POD_1201802+1201803+1201804+1201805_091257_625</t>
  </si>
  <si>
    <t>1201802+1201803+1201804+1201805</t>
  </si>
  <si>
    <t>Act_POD_1201901+1201902+1201903_091816_605</t>
  </si>
  <si>
    <t>1201901+1201902+1201903</t>
  </si>
  <si>
    <t>Act_POD_1202001_094317_613</t>
  </si>
  <si>
    <t>Act_POD_1202002+1202003+1202004_094434_623</t>
  </si>
  <si>
    <t>1202002+1202003+1202004</t>
  </si>
  <si>
    <t>Act_POD_1202101+1202102+1202103_095045_619</t>
  </si>
  <si>
    <t>1202101+1202102+1202103</t>
  </si>
  <si>
    <t>Act_POD_1202201+1202202+1202203_101842_613</t>
  </si>
  <si>
    <t>1202201+1202202+1202203</t>
  </si>
  <si>
    <t>Act_POD_1202204_102029_606</t>
  </si>
  <si>
    <t>Act_POD_1202301_142636_606</t>
  </si>
  <si>
    <t>Act_POD_1202302+1202303_142822_615</t>
  </si>
  <si>
    <t>1202302+1202303</t>
  </si>
  <si>
    <t>Act_POD_1202401+1202402_181006_615</t>
  </si>
  <si>
    <t>1202401+1202402</t>
  </si>
  <si>
    <t>Act_POD_1202501+1202502+1202503+1202504+1202505_214402_615</t>
  </si>
  <si>
    <t>1202501+1202502+1202503+1202504+1202505</t>
  </si>
  <si>
    <t>Act_POD_1202601+1202602_051027_615</t>
  </si>
  <si>
    <t>1202601+1202602</t>
  </si>
  <si>
    <t>Act_POD_1202603_051151_613</t>
  </si>
  <si>
    <t>Act_POD_1202701+1202702+1202703_051955_625</t>
  </si>
  <si>
    <t>1202701+1202702+1202703</t>
  </si>
  <si>
    <t>Act_POD_1202801_053816_615</t>
  </si>
  <si>
    <t>Act_POD_1202802_053931_605</t>
  </si>
  <si>
    <t>Act_POD_1202803_054118_627</t>
  </si>
  <si>
    <t>Act_POD_1202804_054315_605</t>
  </si>
  <si>
    <t>Act_POD_1202901+1202902+1202903+1202904_054614_613</t>
  </si>
  <si>
    <t>1202901+1202902+1202903+1202904</t>
  </si>
  <si>
    <t>Act_POD_1203001+1203002+1203003_054920_605</t>
  </si>
  <si>
    <t>1203001+1203002+1203003</t>
  </si>
  <si>
    <t>Act_POD_1203101+1203102+1203103_055233_619</t>
  </si>
  <si>
    <t>1203101+1203102+1203103</t>
  </si>
  <si>
    <t>Act_POD_1203201+1203202+1203203_055650_623</t>
  </si>
  <si>
    <t>1203201+1203202+1203203</t>
  </si>
  <si>
    <t>Act_POD_1203301_060647_607</t>
  </si>
  <si>
    <t>Act_POD_1203302_060832_606</t>
  </si>
  <si>
    <t>Act_POD_1203303_061018_607</t>
  </si>
  <si>
    <t>Act_POD_1203401+1203402+1203403_111139_625</t>
  </si>
  <si>
    <t>1203401+1203402+1203403</t>
  </si>
  <si>
    <t>Act_POD_1203404_111359_615</t>
  </si>
  <si>
    <t>Act_POD_1203501_111629_615</t>
  </si>
  <si>
    <t>Act_POD_1203502_111741_613</t>
  </si>
  <si>
    <t>Act_POD_1203503+1203504_111858_615</t>
  </si>
  <si>
    <t>1203503+1203504</t>
  </si>
  <si>
    <t>Act_POD_1203601+1203602_131354_615</t>
  </si>
  <si>
    <t>1203601+1203602</t>
  </si>
  <si>
    <t>Act_POD_1203603+1203604+1203605_131514_625</t>
  </si>
  <si>
    <t>1203603+1203604+1203605</t>
  </si>
  <si>
    <t>Act_POD_1203701_132133_613</t>
  </si>
  <si>
    <t>Act_POD_1203702+1203703_132249_615</t>
  </si>
  <si>
    <t>1203702+1203703</t>
  </si>
  <si>
    <t>Act_POD_1203704_132412_619</t>
  </si>
  <si>
    <t>Act_POD_1203801_133431_605</t>
  </si>
  <si>
    <t>Act_POD_1203802_133615_613</t>
  </si>
  <si>
    <t>Act_POD_1203901_135118_623</t>
  </si>
  <si>
    <t>Act_POD_1203902+1203903_135312_607</t>
  </si>
  <si>
    <t>1203902+1203903</t>
  </si>
  <si>
    <t>Act_POD_1204001_140545_609</t>
  </si>
  <si>
    <t>Act_POD_1204002_140724_623</t>
  </si>
  <si>
    <t>Act_POD_1204003_140914_609</t>
  </si>
  <si>
    <t>Act_POD_1204101+1204102_191106_615</t>
  </si>
  <si>
    <t>1204101+1204102</t>
  </si>
  <si>
    <t>Act_POD_1204201+1204202_192342_613</t>
  </si>
  <si>
    <t>1204201+1204202</t>
  </si>
  <si>
    <t>Act_POD_1204203+1204204_192511_625</t>
  </si>
  <si>
    <t>1204203+1204204</t>
  </si>
  <si>
    <t>Act_POD_1204205_192723_613</t>
  </si>
  <si>
    <t>Act_POD_1204301+1204302+1204303+1204304_224117_605</t>
  </si>
  <si>
    <t>1204301+1204302+1204303+1204304</t>
  </si>
  <si>
    <t>Act_POD_1204401_071624_615</t>
  </si>
  <si>
    <t>Act_POD_1204402_071735_613</t>
  </si>
  <si>
    <t>Act_POD_1204403_071856_606</t>
  </si>
  <si>
    <t>Act_POD_1204404_072039_615</t>
  </si>
  <si>
    <t>Act_POD_1204501_074849_605</t>
  </si>
  <si>
    <t>Act_POD_1204502_075039_623</t>
  </si>
  <si>
    <t>Act_POD_1204503_075225_627</t>
  </si>
  <si>
    <t>Act_POD_1204601_083335_613</t>
  </si>
  <si>
    <t>Act_POD_1204602_083453_623</t>
  </si>
  <si>
    <t>Act_POD_1204701_091815_615</t>
  </si>
  <si>
    <t>Act_POD_1204702_091933_627</t>
  </si>
  <si>
    <t>Act_POD_1204703_092134_619</t>
  </si>
  <si>
    <t>Act_POD_1204801+1204802+1204803_131622_615</t>
  </si>
  <si>
    <t>1204801+1204802+1204803</t>
  </si>
  <si>
    <t>Act_POD_1204804_131751_625</t>
  </si>
  <si>
    <t>Act_POD_1204805_132000_607</t>
  </si>
  <si>
    <t>Act_POD_1204901_132241_619</t>
  </si>
  <si>
    <t>Act_POD_1204902_132438_623</t>
  </si>
  <si>
    <t>Act_POD_1204903_132623_619</t>
  </si>
  <si>
    <t>Act_POD_1204904+1204905_132823_605</t>
  </si>
  <si>
    <t>1204904+1204905</t>
  </si>
  <si>
    <t>Act_POD_1205001_151633_615</t>
  </si>
  <si>
    <t>Act_POD_1205002_151744_613</t>
  </si>
  <si>
    <t>Act_POD_1205003+1205004_151905_625</t>
  </si>
  <si>
    <t>1205003+1205004</t>
  </si>
  <si>
    <t>Act_POD_1205101+1205102+1205103_155210_605</t>
  </si>
  <si>
    <t>1205101+1205102+1205103</t>
  </si>
  <si>
    <t>Act_POD_1205201_163033_607</t>
  </si>
  <si>
    <t>Act_POD_1205202_163216_606</t>
  </si>
  <si>
    <t>Act_POD_1205203_163410_607</t>
  </si>
  <si>
    <t>Act_POD_1205301_170646_613</t>
  </si>
  <si>
    <t>Act_POD_1205302_170807_615</t>
  </si>
  <si>
    <t>Act_POD_1205303_170918_613</t>
  </si>
  <si>
    <t>Act_POD_1205401+1205402_201100_625</t>
  </si>
  <si>
    <t>1205401+1205402</t>
  </si>
  <si>
    <t>Act_POD_1205403_201314_605</t>
  </si>
  <si>
    <t>Act_POD_1205501_224128_623</t>
  </si>
  <si>
    <t>Act_POD_1205502_224313_619</t>
  </si>
  <si>
    <t>Act_POD_1205503_224510_623</t>
  </si>
  <si>
    <t>Act_POD_1205601+1205602_061014_619</t>
  </si>
  <si>
    <t>1205601+1205602</t>
  </si>
  <si>
    <t>Act_POD_1205701_062546_615</t>
  </si>
  <si>
    <t>Act_POD_1205702_062700_606</t>
  </si>
  <si>
    <t>Act_POD_1205703_062844_607</t>
  </si>
  <si>
    <t>Act_POD_1205801+1205802+1205803_064137_607</t>
  </si>
  <si>
    <t>1205801+1205802+1205803</t>
  </si>
  <si>
    <t>Act_POD_1205901+1205902+1205903_070601_623</t>
  </si>
  <si>
    <t>1205901+1205902+1205903</t>
  </si>
  <si>
    <t>Act_POD_1206001_072924_625</t>
  </si>
  <si>
    <t>Act_POD_1206002_073125_627</t>
  </si>
  <si>
    <t>Act_POD_1206003_073319_615</t>
  </si>
  <si>
    <t>Act_POD_1206101_121006_625</t>
  </si>
  <si>
    <t>Act_POD_1206102_121216_613</t>
  </si>
  <si>
    <t>Act_POD_1206201+1206202_122754_605</t>
  </si>
  <si>
    <t>1206201+1206202</t>
  </si>
  <si>
    <t>Act_POD_1206203_122954_606</t>
  </si>
  <si>
    <t>Act_POD_1206301+1206302_124027_615</t>
  </si>
  <si>
    <t>1206301+1206302</t>
  </si>
  <si>
    <t>Act_POD_1206401_124905_627</t>
  </si>
  <si>
    <t>Act_POD_1206402_125103_625</t>
  </si>
  <si>
    <t>Act_POD_1206403_125304_623</t>
  </si>
  <si>
    <t>Act_POD_1206501+1206502_130755_619</t>
  </si>
  <si>
    <t>1206501+1206502</t>
  </si>
  <si>
    <t>Act_POD_1206503_131003_607</t>
  </si>
  <si>
    <t>Act_POD_1206504_131139_619</t>
  </si>
  <si>
    <t>Act_POD_1206601_131500_613</t>
  </si>
  <si>
    <t>Act_POD_1206602_131621_609</t>
  </si>
  <si>
    <t>Act_POD_1206701_180922_606</t>
  </si>
  <si>
    <t>Act_POD_1206702_181105_615</t>
  </si>
  <si>
    <t>Act_POD_1206801_211931_613</t>
  </si>
  <si>
    <t>Act_POD_1206802+1206803+1206804_212055_606</t>
  </si>
  <si>
    <t>1206802+1206803+1206804</t>
  </si>
  <si>
    <t>Act_POD_1206805_212304_627</t>
  </si>
  <si>
    <t>Act_POD_1206901+1206902_234120_613</t>
  </si>
  <si>
    <t>1206901+1206902</t>
  </si>
  <si>
    <t>Act_POD_1206903_234257_625</t>
  </si>
  <si>
    <t>Act_POD_1207001_081929_623</t>
  </si>
  <si>
    <t>Act_POD_1207002_082114_615</t>
  </si>
  <si>
    <t>Act_POD_1207003+1207004_082229_623</t>
  </si>
  <si>
    <t>1207003+1207004</t>
  </si>
  <si>
    <t>Act_POD_1207005_082423_615</t>
  </si>
  <si>
    <t>Act_POD_1207101_094029_609</t>
  </si>
  <si>
    <t>Act_POD_1207102_094209_625</t>
  </si>
  <si>
    <t>Act_POD_1207103_094414_615</t>
  </si>
  <si>
    <t>Act_POD_1207201_102035_607</t>
  </si>
  <si>
    <t>Act_POD_1207202_102213_613</t>
  </si>
  <si>
    <t>Act_POD_1207203_102330_607</t>
  </si>
  <si>
    <t>Act_POD_1207301_111429_605</t>
  </si>
  <si>
    <t>Act_POD_1207302_111622_613</t>
  </si>
  <si>
    <t>Act_POD_1207303_111740_605</t>
  </si>
  <si>
    <t>Act_POD_1207401_120229_627</t>
  </si>
  <si>
    <t>Act_POD_1207402_120430_623</t>
  </si>
  <si>
    <t>Act_POD_1207403_120618_619</t>
  </si>
  <si>
    <t>Act_POD_1207501_161401_619</t>
  </si>
  <si>
    <t>Act_POD_1207502_161601_627</t>
  </si>
  <si>
    <t>Act_POD_1207503_161755_605</t>
  </si>
  <si>
    <t>Act_POD_1207601_191058_627</t>
  </si>
  <si>
    <t>Act_POD_1207602+1207603_191256_625</t>
  </si>
  <si>
    <t>1207602+1207603</t>
  </si>
  <si>
    <t>Act_POD_1207701+1207702+1207703+1207704+1207705_221255_627</t>
  </si>
  <si>
    <t>1207701+1207702+1207703+1207704+1207705</t>
  </si>
  <si>
    <t>Securing</t>
  </si>
  <si>
    <t>Act_SEC_1200201_051605_615</t>
  </si>
  <si>
    <t>Act_SEC_1200202_051734_613</t>
  </si>
  <si>
    <t>Act_SEC_1200101_052213_627</t>
  </si>
  <si>
    <t>Act_SEC_1200103_052424_625</t>
  </si>
  <si>
    <t>Act_SEC_1200104_052607_605</t>
  </si>
  <si>
    <t>Act_SEC_1200301_074312_615</t>
  </si>
  <si>
    <t>Act_SEC_1200401_112616_615</t>
  </si>
  <si>
    <t>Act_SEC_1200701_062638_615</t>
  </si>
  <si>
    <t>Act_SEC_1200801_063956_605</t>
  </si>
  <si>
    <t>Act_SEC_1200802_064201_627</t>
  </si>
  <si>
    <t>Act_SEC_1200902_065223_623</t>
  </si>
  <si>
    <t>Act_SEC_1200903_065425_619</t>
  </si>
  <si>
    <t>Act_SEC_1201001_070128_606</t>
  </si>
  <si>
    <t>Act_SEC_1201201_131145_615</t>
  </si>
  <si>
    <t>Act_SEC_1201401_200949_615</t>
  </si>
  <si>
    <t>Act_SEC_1201402_201128_613</t>
  </si>
  <si>
    <t>Act_SEC_1201701_054148_627</t>
  </si>
  <si>
    <t>Act_SEC_1201702_054409_625</t>
  </si>
  <si>
    <t>Act_SEC_1201601_054719_605</t>
  </si>
  <si>
    <t>Act_SEC_1201801_091257_615</t>
  </si>
  <si>
    <t>Act_SEC_1202001_094434_613</t>
  </si>
  <si>
    <t>Act_SEC_1202002_094645_623</t>
  </si>
  <si>
    <t>Act_SEC_1202101_095306_619</t>
  </si>
  <si>
    <t>Act_SEC_1202204_102222_606</t>
  </si>
  <si>
    <t>Act_SEC_1202401_181133_615</t>
  </si>
  <si>
    <t>Act_SEC_1202501_214558_615</t>
  </si>
  <si>
    <t>Act_SEC_1202601_051151_615</t>
  </si>
  <si>
    <t>Act_SEC_1202603_051309_613</t>
  </si>
  <si>
    <t>Act_SEC_1202701_052223_625</t>
  </si>
  <si>
    <t>Act_SEC_1202802_054118_605</t>
  </si>
  <si>
    <t>Act_SEC_1203101_055428_619</t>
  </si>
  <si>
    <t>Act_SEC_1203201_055901_623</t>
  </si>
  <si>
    <t>Act_SEC_1203301_060832_607</t>
  </si>
  <si>
    <t>Act_SEC_1203302_061018_606</t>
  </si>
  <si>
    <t>Act_SEC_1203401_111359_625</t>
  </si>
  <si>
    <t>Act_SEC_1203404_111514_615</t>
  </si>
  <si>
    <t>Act_SEC_1203502_111858_613</t>
  </si>
  <si>
    <t>Act_SEC_1203601_131514_615</t>
  </si>
  <si>
    <t>Act_SEC_1203603_131751_625</t>
  </si>
  <si>
    <t>Act_SEC_1203801_133615_605</t>
  </si>
  <si>
    <t>Act_SEC_1203901_135312_623</t>
  </si>
  <si>
    <t>Act_SEC_1203902_135506_607</t>
  </si>
  <si>
    <t>Act_SEC_1204001_140724_609</t>
  </si>
  <si>
    <t>Act_SEC_1204101_191239_615</t>
  </si>
  <si>
    <t>Act_SEC_1204201_192511_613</t>
  </si>
  <si>
    <t>Act_SEC_1204203_192723_625</t>
  </si>
  <si>
    <t>Act_SEC_1204401_071735_615</t>
  </si>
  <si>
    <t>Act_SEC_1204402_071856_613</t>
  </si>
  <si>
    <t>Act_SEC_1204501_075039_605</t>
  </si>
  <si>
    <t>Act_SEC_1204502_075225_623</t>
  </si>
  <si>
    <t>Act_SEC_1204702_092134_627</t>
  </si>
  <si>
    <t>Act_SEC_1204703_092334_619</t>
  </si>
  <si>
    <t>Act_SEC_1204801_131751_615</t>
  </si>
  <si>
    <t>Act_SEC_1204805_132135_607</t>
  </si>
  <si>
    <t>Act_SEC_1205001_151744_615</t>
  </si>
  <si>
    <t>Act_SEC_1205003_152126_625</t>
  </si>
  <si>
    <t>Act_SEC_1205101_155419_605</t>
  </si>
  <si>
    <t>Act_SEC_1205301_170807_613</t>
  </si>
  <si>
    <t>Act_SEC_1205401_201314_625</t>
  </si>
  <si>
    <t>Act_SEC_1205403_201501_605</t>
  </si>
  <si>
    <t>Act_SEC_1205501_224313_623</t>
  </si>
  <si>
    <t>Act_SEC_1205502_224510_619</t>
  </si>
  <si>
    <t>Act_SEC_1205702_062844_606</t>
  </si>
  <si>
    <t>Act_SEC_1205703_063024_607</t>
  </si>
  <si>
    <t>Act_SEC_1206003_073434_615</t>
  </si>
  <si>
    <t>Act_SEC_1206101_121216_625</t>
  </si>
  <si>
    <t>Act_SEC_1206403_125452_623</t>
  </si>
  <si>
    <t>Act_SEC_1206501_131003_619</t>
  </si>
  <si>
    <t>Act_SEC_1206503_131139_607</t>
  </si>
  <si>
    <t>Act_SEC_1206601_131621_613</t>
  </si>
  <si>
    <t>Act_SEC_1206602_131754_609</t>
  </si>
  <si>
    <t>Act_SEC_1206702_181220_615</t>
  </si>
  <si>
    <t>Act_SEC_1206805_212508_627</t>
  </si>
  <si>
    <t>Act_SEC_1206901_234257_613</t>
  </si>
  <si>
    <t>Act_SEC_1206903_234458_625</t>
  </si>
  <si>
    <t>Act_SEC_1207103_094528_615</t>
  </si>
  <si>
    <t>Act_SEC_1207202_102330_613</t>
  </si>
  <si>
    <t>Act_SEC_1207301_111622_605</t>
  </si>
  <si>
    <t>Act_SEC_1207402_120618_623</t>
  </si>
  <si>
    <t>Act_SEC_1207403_120821_619</t>
  </si>
  <si>
    <t>Act_SEC_1207502_161755_627</t>
  </si>
  <si>
    <t>Act_SEC_1207503_161945_605</t>
  </si>
  <si>
    <t>OBT Id</t>
  </si>
  <si>
    <t>WG Count</t>
  </si>
  <si>
    <t>First WG Arrival</t>
  </si>
  <si>
    <t>OBT Created</t>
  </si>
  <si>
    <t>OBTP Start</t>
  </si>
  <si>
    <t>OBTP End</t>
  </si>
  <si>
    <t>DEPD Start</t>
  </si>
  <si>
    <t>DEPD End</t>
  </si>
  <si>
    <t>Formation Time (hh:mm:ss)</t>
  </si>
  <si>
    <t>Pre-OBTP Wait (hh:mm:ss)</t>
  </si>
  <si>
    <t>Gate Wait (hh:mm:ss)</t>
  </si>
  <si>
    <t>OBT Total on Classif Track (hh:mm:ss)</t>
  </si>
  <si>
    <t>Arrived At</t>
  </si>
  <si>
    <t>OBT Departed</t>
  </si>
  <si>
    <t>Dwell Until OBT Created (hh:mm:ss)</t>
  </si>
  <si>
    <t>Total in Classification (hh:mm:ss)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</si>
</sst>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"/>
    <numFmt numFmtId="166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name val="Arial"/>
    </font>
    <font>
      <sz val="10"/>
      <name val="Arial"/>
    </font>
    <font>
      <b/>
      <sz val="14"/>
      <name val="Arial"/>
    </font>
  </fonts>
  <fills count="3">
    <fill>
      <patternFill patternType="none"/>
    </fill>
    <fill>
      <patternFill patternType="gray125"/>
    </fill>
    <fill>
      <patternFill patternType="solid">
        <fgColor rgb="FF30549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2" fillId="0" borderId="0" xfId="0" applyFont="1"/>
    <xf numFmtId="0" fontId="3" fillId="0" borderId="0" xfId="0" applyFont="1"/>
    <xf numFmtId="1" fontId="3" fillId="0" borderId="0" xfId="0" applyNumberFormat="1" applyFont="1"/>
    <xf numFmtId="46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4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ArrivalDrive - Duration (hh:mm:ss) vs StartedAt, by track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3402559055118108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Track 703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56"/>
              <c:pt idx="0">
                <c:v>45663.208333333343</c:v>
              </c:pt>
              <c:pt idx="1">
                <c:v>45663.3125</c:v>
              </c:pt>
              <c:pt idx="2">
                <c:v>45663.46875</c:v>
              </c:pt>
              <c:pt idx="3">
                <c:v>45663.614583333343</c:v>
              </c:pt>
              <c:pt idx="4">
                <c:v>45664.25</c:v>
              </c:pt>
              <c:pt idx="5">
                <c:v>45664.265277777777</c:v>
              </c:pt>
              <c:pt idx="6">
                <c:v>45664.284722222219</c:v>
              </c:pt>
              <c:pt idx="7">
                <c:v>45664.541666666657</c:v>
              </c:pt>
              <c:pt idx="8">
                <c:v>45664.6875</c:v>
              </c:pt>
              <c:pt idx="9">
                <c:v>45665.229166666657</c:v>
              </c:pt>
              <c:pt idx="10">
                <c:v>45665.375</c:v>
              </c:pt>
              <c:pt idx="11">
                <c:v>45665.396527777782</c:v>
              </c:pt>
              <c:pt idx="12">
                <c:v>45665.420138888891</c:v>
              </c:pt>
              <c:pt idx="13">
                <c:v>45665.59375</c:v>
              </c:pt>
              <c:pt idx="14">
                <c:v>45665.75</c:v>
              </c:pt>
              <c:pt idx="15">
                <c:v>45665.895833333343</c:v>
              </c:pt>
              <c:pt idx="16">
                <c:v>45666.208333333343</c:v>
              </c:pt>
              <c:pt idx="17">
                <c:v>45666.22152777778</c:v>
              </c:pt>
              <c:pt idx="18">
                <c:v>45666.239583333343</c:v>
              </c:pt>
              <c:pt idx="19">
                <c:v>45666.458333333343</c:v>
              </c:pt>
              <c:pt idx="20">
                <c:v>45666.541666666657</c:v>
              </c:pt>
              <c:pt idx="21">
                <c:v>45666.559027777781</c:v>
              </c:pt>
              <c:pt idx="22">
                <c:v>45666.568749999999</c:v>
              </c:pt>
              <c:pt idx="23">
                <c:v>45666.791666666657</c:v>
              </c:pt>
              <c:pt idx="24">
                <c:v>45666.9375</c:v>
              </c:pt>
              <c:pt idx="25">
                <c:v>45667.291666666657</c:v>
              </c:pt>
              <c:pt idx="26">
                <c:v>45667.315972222219</c:v>
              </c:pt>
              <c:pt idx="27">
                <c:v>45667.35</c:v>
              </c:pt>
              <c:pt idx="28">
                <c:v>45667.377083333333</c:v>
              </c:pt>
              <c:pt idx="29">
                <c:v>45667.541666666657</c:v>
              </c:pt>
              <c:pt idx="30">
                <c:v>45667.625</c:v>
              </c:pt>
              <c:pt idx="31">
                <c:v>45667.65347222222</c:v>
              </c:pt>
              <c:pt idx="32">
                <c:v>45667.675694444442</c:v>
              </c:pt>
              <c:pt idx="33">
                <c:v>45667.70416666667</c:v>
              </c:pt>
              <c:pt idx="34">
                <c:v>45667.833333333343</c:v>
              </c:pt>
              <c:pt idx="35">
                <c:v>45667.9375</c:v>
              </c:pt>
              <c:pt idx="36">
                <c:v>45668.25</c:v>
              </c:pt>
              <c:pt idx="37">
                <c:v>45668.259027777778</c:v>
              </c:pt>
              <c:pt idx="38">
                <c:v>45668.271527777782</c:v>
              </c:pt>
              <c:pt idx="39">
                <c:v>45668.288888888892</c:v>
              </c:pt>
              <c:pt idx="40">
                <c:v>45668.303472222222</c:v>
              </c:pt>
              <c:pt idx="41">
                <c:v>45668.5</c:v>
              </c:pt>
              <c:pt idx="42">
                <c:v>45668.511805555558</c:v>
              </c:pt>
              <c:pt idx="43">
                <c:v>45668.525000000001</c:v>
              </c:pt>
              <c:pt idx="44">
                <c:v>45668.544444444437</c:v>
              </c:pt>
              <c:pt idx="45">
                <c:v>45668.75</c:v>
              </c:pt>
              <c:pt idx="46">
                <c:v>45668.875</c:v>
              </c:pt>
              <c:pt idx="47">
                <c:v>45668.979166666657</c:v>
              </c:pt>
              <c:pt idx="48">
                <c:v>45669.333333333343</c:v>
              </c:pt>
              <c:pt idx="49">
                <c:v>45669.392361111109</c:v>
              </c:pt>
              <c:pt idx="50">
                <c:v>45669.422222222223</c:v>
              </c:pt>
              <c:pt idx="51">
                <c:v>45669.457638888889</c:v>
              </c:pt>
              <c:pt idx="52">
                <c:v>45669.491666666669</c:v>
              </c:pt>
              <c:pt idx="53">
                <c:v>45669.666666666657</c:v>
              </c:pt>
              <c:pt idx="54">
                <c:v>45669.791666666657</c:v>
              </c:pt>
              <c:pt idx="55">
                <c:v>45669.916666666657</c:v>
              </c:pt>
            </c:numLit>
          </c:xVal>
          <c:yVal>
            <c:numLit>
              <c:formatCode>General</c:formatCode>
              <c:ptCount val="56"/>
              <c:pt idx="0">
                <c:v>2.1064814814814809E-3</c:v>
              </c:pt>
              <c:pt idx="1">
                <c:v>1.956018518518518E-3</c:v>
              </c:pt>
              <c:pt idx="2">
                <c:v>1.8171296296296299E-3</c:v>
              </c:pt>
              <c:pt idx="3">
                <c:v>2.0023148148148148E-3</c:v>
              </c:pt>
              <c:pt idx="4">
                <c:v>1.956018518518518E-3</c:v>
              </c:pt>
              <c:pt idx="5">
                <c:v>2.1064814814814809E-3</c:v>
              </c:pt>
              <c:pt idx="6">
                <c:v>1.8171296296296299E-3</c:v>
              </c:pt>
              <c:pt idx="7">
                <c:v>1.8865740740740739E-3</c:v>
              </c:pt>
              <c:pt idx="8">
                <c:v>1.770833333333333E-3</c:v>
              </c:pt>
              <c:pt idx="9">
                <c:v>2.0370370370370369E-3</c:v>
              </c:pt>
              <c:pt idx="10">
                <c:v>2.0023148148148148E-3</c:v>
              </c:pt>
              <c:pt idx="11">
                <c:v>2.0370370370370369E-3</c:v>
              </c:pt>
              <c:pt idx="12">
                <c:v>2.1875000000000002E-3</c:v>
              </c:pt>
              <c:pt idx="13">
                <c:v>1.956018518518518E-3</c:v>
              </c:pt>
              <c:pt idx="14">
                <c:v>1.8518518518518519E-3</c:v>
              </c:pt>
              <c:pt idx="15">
                <c:v>2.1875000000000002E-3</c:v>
              </c:pt>
              <c:pt idx="16">
                <c:v>1.8865740740740739E-3</c:v>
              </c:pt>
              <c:pt idx="17">
                <c:v>2.0023148148148148E-3</c:v>
              </c:pt>
              <c:pt idx="18">
                <c:v>1.956018518518518E-3</c:v>
              </c:pt>
              <c:pt idx="19">
                <c:v>2.0023148148148148E-3</c:v>
              </c:pt>
              <c:pt idx="20">
                <c:v>2.2569444444444438E-3</c:v>
              </c:pt>
              <c:pt idx="21">
                <c:v>1.770833333333333E-3</c:v>
              </c:pt>
              <c:pt idx="22">
                <c:v>2.0370370370370369E-3</c:v>
              </c:pt>
              <c:pt idx="23">
                <c:v>1.9212962962962959E-3</c:v>
              </c:pt>
              <c:pt idx="24">
                <c:v>1.956018518518518E-3</c:v>
              </c:pt>
              <c:pt idx="25">
                <c:v>1.956018518518518E-3</c:v>
              </c:pt>
              <c:pt idx="26">
                <c:v>1.9212962962962959E-3</c:v>
              </c:pt>
              <c:pt idx="27">
                <c:v>1.8171296296296299E-3</c:v>
              </c:pt>
              <c:pt idx="28">
                <c:v>2.0023148148148148E-3</c:v>
              </c:pt>
              <c:pt idx="29">
                <c:v>2.1064814814814809E-3</c:v>
              </c:pt>
              <c:pt idx="30">
                <c:v>2.0717592592592589E-3</c:v>
              </c:pt>
              <c:pt idx="31">
                <c:v>1.956018518518518E-3</c:v>
              </c:pt>
              <c:pt idx="32">
                <c:v>2.1064814814814809E-3</c:v>
              </c:pt>
              <c:pt idx="33">
                <c:v>1.8865740740740739E-3</c:v>
              </c:pt>
              <c:pt idx="34">
                <c:v>1.9212962962962959E-3</c:v>
              </c:pt>
              <c:pt idx="35">
                <c:v>1.8171296296296299E-3</c:v>
              </c:pt>
              <c:pt idx="36">
                <c:v>1.8518518518518519E-3</c:v>
              </c:pt>
              <c:pt idx="37">
                <c:v>1.8865740740740739E-3</c:v>
              </c:pt>
              <c:pt idx="38">
                <c:v>1.8865740740740739E-3</c:v>
              </c:pt>
              <c:pt idx="39">
                <c:v>1.8518518518518519E-3</c:v>
              </c:pt>
              <c:pt idx="40">
                <c:v>1.8518518518518519E-3</c:v>
              </c:pt>
              <c:pt idx="41">
                <c:v>1.8518518518518519E-3</c:v>
              </c:pt>
              <c:pt idx="42">
                <c:v>1.9212962962962959E-3</c:v>
              </c:pt>
              <c:pt idx="43">
                <c:v>1.8865740740740739E-3</c:v>
              </c:pt>
              <c:pt idx="44">
                <c:v>1.8171296296296299E-3</c:v>
              </c:pt>
              <c:pt idx="45">
                <c:v>1.770833333333333E-3</c:v>
              </c:pt>
              <c:pt idx="46">
                <c:v>2.2916666666666671E-3</c:v>
              </c:pt>
              <c:pt idx="47">
                <c:v>1.956018518518518E-3</c:v>
              </c:pt>
              <c:pt idx="48">
                <c:v>2.0717592592592589E-3</c:v>
              </c:pt>
              <c:pt idx="49">
                <c:v>2.0023148148148148E-3</c:v>
              </c:pt>
              <c:pt idx="50">
                <c:v>1.8865740740740739E-3</c:v>
              </c:pt>
              <c:pt idx="51">
                <c:v>2.0023148148148148E-3</c:v>
              </c:pt>
              <c:pt idx="52">
                <c:v>2.0023148148148148E-3</c:v>
              </c:pt>
              <c:pt idx="53">
                <c:v>1.9212962962962959E-3</c:v>
              </c:pt>
              <c:pt idx="54">
                <c:v>1.956018518518518E-3</c:v>
              </c:pt>
              <c:pt idx="55">
                <c:v>2.1064814814814809E-3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CA6-457E-B5D8-E578B65C81E1}"/>
            </c:ext>
          </c:extLst>
        </c:ser>
        <c:ser>
          <c:idx val="1"/>
          <c:order val="1"/>
          <c:tx>
            <c:v>Track 723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45666.234722222223</c:v>
              </c:pt>
            </c:numLit>
          </c:xVal>
          <c:yVal>
            <c:numLit>
              <c:formatCode>General</c:formatCode>
              <c:ptCount val="1"/>
              <c:pt idx="0">
                <c:v>1.1226851851851849E-3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CA6-457E-B5D8-E578B65C81E1}"/>
            </c:ext>
          </c:extLst>
        </c:ser>
        <c:ser>
          <c:idx val="2"/>
          <c:order val="2"/>
          <c:tx>
            <c:v>Track 725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45666.231249999997</c:v>
              </c:pt>
            </c:numLit>
          </c:xVal>
          <c:yVal>
            <c:numLit>
              <c:formatCode>General</c:formatCode>
              <c:ptCount val="1"/>
              <c:pt idx="0">
                <c:v>1.3194444444444441E-3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CA6-457E-B5D8-E578B65C81E1}"/>
            </c:ext>
          </c:extLst>
        </c:ser>
        <c:ser>
          <c:idx val="3"/>
          <c:order val="3"/>
          <c:tx>
            <c:v>Track 727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45663.208333333343</c:v>
              </c:pt>
              <c:pt idx="1">
                <c:v>45664.260416666657</c:v>
              </c:pt>
              <c:pt idx="2">
                <c:v>45664.275694444441</c:v>
              </c:pt>
              <c:pt idx="3">
                <c:v>45664.292361111111</c:v>
              </c:pt>
              <c:pt idx="4">
                <c:v>45665.229166666657</c:v>
              </c:pt>
              <c:pt idx="5">
                <c:v>45665.380555555559</c:v>
              </c:pt>
              <c:pt idx="6">
                <c:v>45665.402777777781</c:v>
              </c:pt>
              <c:pt idx="7">
                <c:v>45666.214583333327</c:v>
              </c:pt>
              <c:pt idx="8">
                <c:v>45666.227777777778</c:v>
              </c:pt>
              <c:pt idx="9">
                <c:v>45666.244444444441</c:v>
              </c:pt>
              <c:pt idx="10">
                <c:v>45666.458333333343</c:v>
              </c:pt>
              <c:pt idx="11">
                <c:v>45666.546527777777</c:v>
              </c:pt>
              <c:pt idx="12">
                <c:v>45666.576388888891</c:v>
              </c:pt>
              <c:pt idx="13">
                <c:v>45666.795138888891</c:v>
              </c:pt>
              <c:pt idx="14">
                <c:v>45667.541666666657</c:v>
              </c:pt>
              <c:pt idx="15">
                <c:v>45668.521527777782</c:v>
              </c:pt>
              <c:pt idx="16">
                <c:v>45668.536111111112</c:v>
              </c:pt>
            </c:numLit>
          </c:xVal>
          <c:yVal>
            <c:numLit>
              <c:formatCode>General</c:formatCode>
              <c:ptCount val="17"/>
              <c:pt idx="0">
                <c:v>1.631944444444445E-3</c:v>
              </c:pt>
              <c:pt idx="1">
                <c:v>1.446759259259259E-3</c:v>
              </c:pt>
              <c:pt idx="2">
                <c:v>1.446759259259259E-3</c:v>
              </c:pt>
              <c:pt idx="3">
                <c:v>1.5972222222222221E-3</c:v>
              </c:pt>
              <c:pt idx="4">
                <c:v>1.3773148148148149E-3</c:v>
              </c:pt>
              <c:pt idx="5">
                <c:v>1.481481481481481E-3</c:v>
              </c:pt>
              <c:pt idx="6">
                <c:v>1.5277777777777781E-3</c:v>
              </c:pt>
              <c:pt idx="7">
                <c:v>1.5625000000000001E-3</c:v>
              </c:pt>
              <c:pt idx="8">
                <c:v>1.631944444444445E-3</c:v>
              </c:pt>
              <c:pt idx="9">
                <c:v>1.5625000000000001E-3</c:v>
              </c:pt>
              <c:pt idx="10">
                <c:v>1.5972222222222221E-3</c:v>
              </c:pt>
              <c:pt idx="11">
                <c:v>1.5625000000000001E-3</c:v>
              </c:pt>
              <c:pt idx="12">
                <c:v>1.5972222222222221E-3</c:v>
              </c:pt>
              <c:pt idx="13">
                <c:v>1.782407407407407E-3</c:v>
              </c:pt>
              <c:pt idx="14">
                <c:v>1.712962962962963E-3</c:v>
              </c:pt>
              <c:pt idx="15">
                <c:v>1.4120370370370369E-3</c:v>
              </c:pt>
              <c:pt idx="16">
                <c:v>1.631944444444445E-3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CA6-457E-B5D8-E578B65C81E1}"/>
            </c:ext>
          </c:extLst>
        </c:ser>
        <c:ser>
          <c:idx val="4"/>
          <c:order val="4"/>
          <c:tx>
            <c:v>Track 731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45664.833333333343</c:v>
              </c:pt>
              <c:pt idx="1">
                <c:v>45665.229166666657</c:v>
              </c:pt>
            </c:numLit>
          </c:xVal>
          <c:yVal>
            <c:numLit>
              <c:formatCode>General</c:formatCode>
              <c:ptCount val="2"/>
              <c:pt idx="0">
                <c:v>1.3657407407407409E-3</c:v>
              </c:pt>
              <c:pt idx="1">
                <c:v>1.3657407407407409E-3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CA6-457E-B5D8-E578B65C8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388159"/>
        <c:axId val="1493384799"/>
      </c:scatterChart>
      <c:valAx>
        <c:axId val="1493388159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93384799"/>
        <c:crosses val="autoZero"/>
        <c:crossBetween val="midCat"/>
      </c:valAx>
      <c:valAx>
        <c:axId val="1493384799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49338815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IncomingTrainPreparation - Duration (hh:mm:ss) vs StartedAt, by separation joints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0.13902173913043478"/>
          <c:w val="0.85000052493438316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0 joints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24"/>
              <c:pt idx="0">
                <c:v>45663.317233796297</c:v>
              </c:pt>
              <c:pt idx="1">
                <c:v>45663.473344907397</c:v>
              </c:pt>
              <c:pt idx="2">
                <c:v>45664.264641203707</c:v>
              </c:pt>
              <c:pt idx="3">
                <c:v>45664.289317129631</c:v>
              </c:pt>
              <c:pt idx="4">
                <c:v>45664.546331018522</c:v>
              </c:pt>
              <c:pt idx="5">
                <c:v>45664.692048611112</c:v>
              </c:pt>
              <c:pt idx="6">
                <c:v>45665.23332175926</c:v>
              </c:pt>
              <c:pt idx="7">
                <c:v>45665.384814814817</c:v>
              </c:pt>
              <c:pt idx="8">
                <c:v>45665.407083333332</c:v>
              </c:pt>
              <c:pt idx="9">
                <c:v>45665.754629629628</c:v>
              </c:pt>
              <c:pt idx="10">
                <c:v>45665.90079861111</c:v>
              </c:pt>
              <c:pt idx="11">
                <c:v>45666.218923611108</c:v>
              </c:pt>
              <c:pt idx="12">
                <c:v>45666.232187499998</c:v>
              </c:pt>
              <c:pt idx="13">
                <c:v>45666.235347222217</c:v>
              </c:pt>
              <c:pt idx="14">
                <c:v>45666.239016203697</c:v>
              </c:pt>
              <c:pt idx="15">
                <c:v>45666.244317129633</c:v>
              </c:pt>
              <c:pt idx="16">
                <c:v>45666.796365740738</c:v>
              </c:pt>
              <c:pt idx="17">
                <c:v>45666.942233796297</c:v>
              </c:pt>
              <c:pt idx="18">
                <c:v>45667.658206018517</c:v>
              </c:pt>
              <c:pt idx="19">
                <c:v>45668.254629629628</c:v>
              </c:pt>
              <c:pt idx="20">
                <c:v>45668.276192129633</c:v>
              </c:pt>
              <c:pt idx="21">
                <c:v>45668.29351851852</c:v>
              </c:pt>
              <c:pt idx="22">
                <c:v>45668.525717592587</c:v>
              </c:pt>
              <c:pt idx="23">
                <c:v>45669.921550925923</c:v>
              </c:pt>
            </c:numLit>
          </c:xVal>
          <c:yVal>
            <c:numLit>
              <c:formatCode>General</c:formatCode>
              <c:ptCount val="24"/>
              <c:pt idx="0">
                <c:v>2.453703703703704E-3</c:v>
              </c:pt>
              <c:pt idx="1">
                <c:v>1.3773148148148149E-3</c:v>
              </c:pt>
              <c:pt idx="2">
                <c:v>1.956018518518518E-3</c:v>
              </c:pt>
              <c:pt idx="3">
                <c:v>1.1458333333333329E-3</c:v>
              </c:pt>
              <c:pt idx="4">
                <c:v>1.655092592592593E-3</c:v>
              </c:pt>
              <c:pt idx="5">
                <c:v>1.0763888888888891E-3</c:v>
              </c:pt>
              <c:pt idx="6">
                <c:v>1.238425925925926E-3</c:v>
              </c:pt>
              <c:pt idx="7">
                <c:v>2.0023148148148148E-3</c:v>
              </c:pt>
              <c:pt idx="8">
                <c:v>2.2916666666666671E-3</c:v>
              </c:pt>
              <c:pt idx="9">
                <c:v>1.5046296296296301E-3</c:v>
              </c:pt>
              <c:pt idx="10">
                <c:v>3.9120370370370368E-3</c:v>
              </c:pt>
              <c:pt idx="11">
                <c:v>2.3611111111111111E-3</c:v>
              </c:pt>
              <c:pt idx="12">
                <c:v>3.1828703703703702E-3</c:v>
              </c:pt>
              <c:pt idx="13">
                <c:v>1.93287037037037E-3</c:v>
              </c:pt>
              <c:pt idx="14">
                <c:v>1.458333333333333E-3</c:v>
              </c:pt>
              <c:pt idx="15">
                <c:v>2.2222222222222218E-3</c:v>
              </c:pt>
              <c:pt idx="16">
                <c:v>2.1412037037037042E-3</c:v>
              </c:pt>
              <c:pt idx="17">
                <c:v>2.3726851851851851E-3</c:v>
              </c:pt>
              <c:pt idx="18">
                <c:v>2.1527777777777782E-3</c:v>
              </c:pt>
              <c:pt idx="19">
                <c:v>1.6087962962962961E-3</c:v>
              </c:pt>
              <c:pt idx="20">
                <c:v>1.8402777777777779E-3</c:v>
              </c:pt>
              <c:pt idx="21">
                <c:v>1.446759259259259E-3</c:v>
              </c:pt>
              <c:pt idx="22">
                <c:v>1.5046296296296301E-3</c:v>
              </c:pt>
              <c:pt idx="23">
                <c:v>3.3217592592592591E-3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0BA-434E-8067-1FABF7A109AB}"/>
            </c:ext>
          </c:extLst>
        </c:ser>
        <c:ser>
          <c:idx val="1"/>
          <c:order val="1"/>
          <c:tx>
            <c:v>1 joint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21"/>
              <c:pt idx="0">
                <c:v>45664.254733796297</c:v>
              </c:pt>
              <c:pt idx="1">
                <c:v>45664.296736111108</c:v>
              </c:pt>
              <c:pt idx="2">
                <c:v>45664.837476851862</c:v>
              </c:pt>
              <c:pt idx="3">
                <c:v>45665.233310185176</c:v>
              </c:pt>
              <c:pt idx="4">
                <c:v>45665.379780092589</c:v>
              </c:pt>
              <c:pt idx="5">
                <c:v>45665.401342592602</c:v>
              </c:pt>
              <c:pt idx="6">
                <c:v>45665.425104166658</c:v>
              </c:pt>
              <c:pt idx="7">
                <c:v>45665.598483796297</c:v>
              </c:pt>
              <c:pt idx="8">
                <c:v>45666.212997685187</c:v>
              </c:pt>
              <c:pt idx="9">
                <c:v>45666.463113425933</c:v>
              </c:pt>
              <c:pt idx="10">
                <c:v>45666.546701388892</c:v>
              </c:pt>
              <c:pt idx="11">
                <c:v>45666.563576388893</c:v>
              </c:pt>
              <c:pt idx="12">
                <c:v>45666.573564814818</c:v>
              </c:pt>
              <c:pt idx="13">
                <c:v>45667.354594907411</c:v>
              </c:pt>
              <c:pt idx="14">
                <c:v>45667.83803240741</c:v>
              </c:pt>
              <c:pt idx="15">
                <c:v>45668.504629629628</c:v>
              </c:pt>
              <c:pt idx="16">
                <c:v>45668.516504629632</c:v>
              </c:pt>
              <c:pt idx="17">
                <c:v>45668.549039351848</c:v>
              </c:pt>
              <c:pt idx="18">
                <c:v>45668.754548611112</c:v>
              </c:pt>
              <c:pt idx="19">
                <c:v>45668.983900462961</c:v>
              </c:pt>
              <c:pt idx="20">
                <c:v>45669.796400462961</c:v>
              </c:pt>
            </c:numLit>
          </c:xVal>
          <c:yVal>
            <c:numLit>
              <c:formatCode>General</c:formatCode>
              <c:ptCount val="21"/>
              <c:pt idx="0">
                <c:v>2.3032407407407411E-3</c:v>
              </c:pt>
              <c:pt idx="1">
                <c:v>2.5810185185185189E-3</c:v>
              </c:pt>
              <c:pt idx="2">
                <c:v>8.3333333333333339E-4</c:v>
              </c:pt>
              <c:pt idx="3">
                <c:v>8.564814814814815E-4</c:v>
              </c:pt>
              <c:pt idx="4">
                <c:v>2.5231481481481481E-3</c:v>
              </c:pt>
              <c:pt idx="5">
                <c:v>2.8472222222222219E-3</c:v>
              </c:pt>
              <c:pt idx="6">
                <c:v>3.668981481481481E-3</c:v>
              </c:pt>
              <c:pt idx="7">
                <c:v>2.453703703703704E-3</c:v>
              </c:pt>
              <c:pt idx="8">
                <c:v>1.724537037037037E-3</c:v>
              </c:pt>
              <c:pt idx="9">
                <c:v>2.5231481481481481E-3</c:v>
              </c:pt>
              <c:pt idx="10">
                <c:v>3.7384259259259259E-3</c:v>
              </c:pt>
              <c:pt idx="11">
                <c:v>1.19212962962963E-3</c:v>
              </c:pt>
              <c:pt idx="12">
                <c:v>2.8472222222222219E-3</c:v>
              </c:pt>
              <c:pt idx="13">
                <c:v>1.19212962962963E-3</c:v>
              </c:pt>
              <c:pt idx="14">
                <c:v>2.0717592592592589E-3</c:v>
              </c:pt>
              <c:pt idx="15">
                <c:v>1.5046296296296301E-3</c:v>
              </c:pt>
              <c:pt idx="16">
                <c:v>2.0023148148148148E-3</c:v>
              </c:pt>
              <c:pt idx="17">
                <c:v>1.3773148148148149E-3</c:v>
              </c:pt>
              <c:pt idx="18">
                <c:v>1.19212962962963E-3</c:v>
              </c:pt>
              <c:pt idx="19">
                <c:v>2.3726851851851851E-3</c:v>
              </c:pt>
              <c:pt idx="20">
                <c:v>2.0023148148148148E-3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0BA-434E-8067-1FABF7A109AB}"/>
            </c:ext>
          </c:extLst>
        </c:ser>
        <c:ser>
          <c:idx val="2"/>
          <c:order val="2"/>
          <c:tx>
            <c:v>2 joints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28"/>
              <c:pt idx="0">
                <c:v>45663.212743055563</c:v>
              </c:pt>
              <c:pt idx="1">
                <c:v>45663.213217592587</c:v>
              </c:pt>
              <c:pt idx="2">
                <c:v>45663.619363425933</c:v>
              </c:pt>
              <c:pt idx="3">
                <c:v>45664.270162037043</c:v>
              </c:pt>
              <c:pt idx="4">
                <c:v>45664.279918981483</c:v>
              </c:pt>
              <c:pt idx="5">
                <c:v>45665.233981481477</c:v>
              </c:pt>
              <c:pt idx="6">
                <c:v>45666.248784722222</c:v>
              </c:pt>
              <c:pt idx="7">
                <c:v>45666.462708333333</c:v>
              </c:pt>
              <c:pt idx="8">
                <c:v>45666.550868055558</c:v>
              </c:pt>
              <c:pt idx="9">
                <c:v>45666.580763888887</c:v>
              </c:pt>
              <c:pt idx="10">
                <c:v>45666.799699074072</c:v>
              </c:pt>
              <c:pt idx="11">
                <c:v>45667.320671296293</c:v>
              </c:pt>
              <c:pt idx="12">
                <c:v>45667.381863425922</c:v>
              </c:pt>
              <c:pt idx="13">
                <c:v>45667.546157407407</c:v>
              </c:pt>
              <c:pt idx="14">
                <c:v>45667.629849537043</c:v>
              </c:pt>
              <c:pt idx="15">
                <c:v>45667.680578703701</c:v>
              </c:pt>
              <c:pt idx="16">
                <c:v>45667.708831018521</c:v>
              </c:pt>
              <c:pt idx="17">
                <c:v>45667.942094907397</c:v>
              </c:pt>
              <c:pt idx="18">
                <c:v>45668.263692129629</c:v>
              </c:pt>
              <c:pt idx="19">
                <c:v>45668.30810185185</c:v>
              </c:pt>
              <c:pt idx="20">
                <c:v>45668.529664351852</c:v>
              </c:pt>
              <c:pt idx="21">
                <c:v>45668.540520833332</c:v>
              </c:pt>
              <c:pt idx="22">
                <c:v>45668.880069444444</c:v>
              </c:pt>
              <c:pt idx="23">
                <c:v>45669.397141203714</c:v>
              </c:pt>
              <c:pt idx="24">
                <c:v>45669.426886574067</c:v>
              </c:pt>
              <c:pt idx="25">
                <c:v>45669.462418981479</c:v>
              </c:pt>
              <c:pt idx="26">
                <c:v>45669.496446759258</c:v>
              </c:pt>
              <c:pt idx="27">
                <c:v>45669.671365740738</c:v>
              </c:pt>
            </c:numLit>
          </c:xVal>
          <c:yVal>
            <c:numLit>
              <c:formatCode>General</c:formatCode>
              <c:ptCount val="28"/>
              <c:pt idx="0">
                <c:v>5.0115740740740737E-3</c:v>
              </c:pt>
              <c:pt idx="1">
                <c:v>6.4351851851851853E-3</c:v>
              </c:pt>
              <c:pt idx="2">
                <c:v>5.37037037037037E-3</c:v>
              </c:pt>
              <c:pt idx="3">
                <c:v>5.3935185185185188E-3</c:v>
              </c:pt>
              <c:pt idx="4">
                <c:v>3.0787037037037042E-3</c:v>
              </c:pt>
              <c:pt idx="5">
                <c:v>5.8680555555555552E-3</c:v>
              </c:pt>
              <c:pt idx="6">
                <c:v>5.0462962962962961E-3</c:v>
              </c:pt>
              <c:pt idx="7">
                <c:v>5.6944444444444447E-3</c:v>
              </c:pt>
              <c:pt idx="8">
                <c:v>4.8842592592592592E-3</c:v>
              </c:pt>
              <c:pt idx="9">
                <c:v>5.6944444444444447E-3</c:v>
              </c:pt>
              <c:pt idx="10">
                <c:v>7.5578703703703702E-3</c:v>
              </c:pt>
              <c:pt idx="11">
                <c:v>4.1319444444444442E-3</c:v>
              </c:pt>
              <c:pt idx="12">
                <c:v>5.0462962962962961E-3</c:v>
              </c:pt>
              <c:pt idx="13">
                <c:v>5.9953703703703714E-3</c:v>
              </c:pt>
              <c:pt idx="14">
                <c:v>5.7754629629629631E-3</c:v>
              </c:pt>
              <c:pt idx="15">
                <c:v>6.4351851851851853E-3</c:v>
              </c:pt>
              <c:pt idx="16">
                <c:v>3.3217592592592591E-3</c:v>
              </c:pt>
              <c:pt idx="17">
                <c:v>2.488425925925926E-3</c:v>
              </c:pt>
              <c:pt idx="18">
                <c:v>3.3217592592592591E-3</c:v>
              </c:pt>
              <c:pt idx="19">
                <c:v>3.1134259259259262E-3</c:v>
              </c:pt>
              <c:pt idx="20">
                <c:v>3.5532407407407409E-3</c:v>
              </c:pt>
              <c:pt idx="21">
                <c:v>5.7754629629629631E-3</c:v>
              </c:pt>
              <c:pt idx="22">
                <c:v>7.6041666666666671E-3</c:v>
              </c:pt>
              <c:pt idx="23">
                <c:v>5.208333333333333E-3</c:v>
              </c:pt>
              <c:pt idx="24">
                <c:v>3.2060185185185191E-3</c:v>
              </c:pt>
              <c:pt idx="25">
                <c:v>5.208333333333333E-3</c:v>
              </c:pt>
              <c:pt idx="26">
                <c:v>4.3981481481481484E-3</c:v>
              </c:pt>
              <c:pt idx="27">
                <c:v>4.2708333333333331E-3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0BA-434E-8067-1FABF7A109AB}"/>
            </c:ext>
          </c:extLst>
        </c:ser>
        <c:ser>
          <c:idx val="3"/>
          <c:order val="3"/>
          <c:tx>
            <c:v>3 joints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45666.226307870369</c:v>
              </c:pt>
              <c:pt idx="1">
                <c:v>45667.296400462961</c:v>
              </c:pt>
              <c:pt idx="2">
                <c:v>45667.546550925923</c:v>
              </c:pt>
              <c:pt idx="3">
                <c:v>45669.338182870371</c:v>
              </c:pt>
            </c:numLit>
          </c:xVal>
          <c:yVal>
            <c:numLit>
              <c:formatCode>General</c:formatCode>
              <c:ptCount val="4"/>
              <c:pt idx="0">
                <c:v>7.083333333333333E-3</c:v>
              </c:pt>
              <c:pt idx="1">
                <c:v>5.7870370370370367E-3</c:v>
              </c:pt>
              <c:pt idx="2">
                <c:v>9.6527777777777775E-3</c:v>
              </c:pt>
              <c:pt idx="3">
                <c:v>7.8009259259259264E-3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0BA-434E-8067-1FABF7A10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378559"/>
        <c:axId val="1493395359"/>
      </c:scatterChart>
      <c:valAx>
        <c:axId val="1493378559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93395359"/>
        <c:crosses val="autoZero"/>
        <c:crossBetween val="midCat"/>
      </c:valAx>
      <c:valAx>
        <c:axId val="1493395359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49337855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PushOff (parent) - Duration (hh:mm:ss) vs StartedAt, by length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2680078740157481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64-112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12"/>
              <c:pt idx="0">
                <c:v>45663.475601851853</c:v>
              </c:pt>
              <c:pt idx="1">
                <c:v>45664.291331018518</c:v>
              </c:pt>
              <c:pt idx="2">
                <c:v>45664.693993055553</c:v>
              </c:pt>
              <c:pt idx="3">
                <c:v>45664.839097222219</c:v>
              </c:pt>
              <c:pt idx="4">
                <c:v>45665.235798611109</c:v>
              </c:pt>
              <c:pt idx="5">
                <c:v>45665.239861111113</c:v>
              </c:pt>
              <c:pt idx="6">
                <c:v>45666.244826388887</c:v>
              </c:pt>
              <c:pt idx="7">
                <c:v>45666.565636574072</c:v>
              </c:pt>
              <c:pt idx="8">
                <c:v>45667.35665509259</c:v>
              </c:pt>
              <c:pt idx="9">
                <c:v>45667.945462962962</c:v>
              </c:pt>
              <c:pt idx="10">
                <c:v>45668.552083333343</c:v>
              </c:pt>
              <c:pt idx="11">
                <c:v>45668.756504629629</c:v>
              </c:pt>
            </c:numLit>
          </c:xVal>
          <c:yVal>
            <c:numLit>
              <c:formatCode>General</c:formatCode>
              <c:ptCount val="12"/>
              <c:pt idx="0">
                <c:v>9.7222222222222219E-4</c:v>
              </c:pt>
              <c:pt idx="1">
                <c:v>1.3541666666666669E-3</c:v>
              </c:pt>
              <c:pt idx="2">
                <c:v>1.30787037037037E-3</c:v>
              </c:pt>
              <c:pt idx="3">
                <c:v>2.1990740740740742E-3</c:v>
              </c:pt>
              <c:pt idx="4">
                <c:v>3.1944444444444451E-3</c:v>
              </c:pt>
              <c:pt idx="5">
                <c:v>1.3310185185185181E-3</c:v>
              </c:pt>
              <c:pt idx="6">
                <c:v>1.3310185185185181E-3</c:v>
              </c:pt>
              <c:pt idx="7">
                <c:v>2.1412037037037042E-3</c:v>
              </c:pt>
              <c:pt idx="8">
                <c:v>2.1990740740740742E-3</c:v>
              </c:pt>
              <c:pt idx="9">
                <c:v>3.7847222222222219E-3</c:v>
              </c:pt>
              <c:pt idx="10">
                <c:v>2.0138888888888888E-3</c:v>
              </c:pt>
              <c:pt idx="11">
                <c:v>2.0601851851851849E-3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A51-4EFD-B331-44F4D57F819A}"/>
            </c:ext>
          </c:extLst>
        </c:ser>
        <c:ser>
          <c:idx val="1"/>
          <c:order val="1"/>
          <c:tx>
            <c:v>112-160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22"/>
              <c:pt idx="0">
                <c:v>45664.267465277779</c:v>
              </c:pt>
              <c:pt idx="1">
                <c:v>45664.283865740741</c:v>
              </c:pt>
              <c:pt idx="2">
                <c:v>45664.548784722218</c:v>
              </c:pt>
              <c:pt idx="3">
                <c:v>45665.387685185182</c:v>
              </c:pt>
              <c:pt idx="4">
                <c:v>45665.757013888891</c:v>
              </c:pt>
              <c:pt idx="5">
                <c:v>45666.215590277781</c:v>
              </c:pt>
              <c:pt idx="6">
                <c:v>45666.242592592593</c:v>
              </c:pt>
              <c:pt idx="7">
                <c:v>45666.799375000002</c:v>
              </c:pt>
              <c:pt idx="8">
                <c:v>45667.325567129628</c:v>
              </c:pt>
              <c:pt idx="9">
                <c:v>45667.71303240741</c:v>
              </c:pt>
              <c:pt idx="10">
                <c:v>45667.84097222222</c:v>
              </c:pt>
              <c:pt idx="11">
                <c:v>45668.257106481477</c:v>
              </c:pt>
              <c:pt idx="12">
                <c:v>45668.267893518518</c:v>
              </c:pt>
              <c:pt idx="13">
                <c:v>45668.278900462959</c:v>
              </c:pt>
              <c:pt idx="14">
                <c:v>45668.295844907407</c:v>
              </c:pt>
              <c:pt idx="15">
                <c:v>45668.312083333331</c:v>
              </c:pt>
              <c:pt idx="16">
                <c:v>45668.507013888891</c:v>
              </c:pt>
              <c:pt idx="17">
                <c:v>45668.519375000003</c:v>
              </c:pt>
              <c:pt idx="18">
                <c:v>45668.528090277781</c:v>
              </c:pt>
              <c:pt idx="19">
                <c:v>45668.534085648149</c:v>
              </c:pt>
              <c:pt idx="20">
                <c:v>45669.430960648147</c:v>
              </c:pt>
              <c:pt idx="21">
                <c:v>45669.676400462973</c:v>
              </c:pt>
            </c:numLit>
          </c:xVal>
          <c:yVal>
            <c:numLit>
              <c:formatCode>General</c:formatCode>
              <c:ptCount val="22"/>
              <c:pt idx="0">
                <c:v>1.0300925925925931E-3</c:v>
              </c:pt>
              <c:pt idx="1">
                <c:v>3.9236111111111112E-3</c:v>
              </c:pt>
              <c:pt idx="2">
                <c:v>1.0416666666666671E-3</c:v>
              </c:pt>
              <c:pt idx="3">
                <c:v>1.446759259259259E-3</c:v>
              </c:pt>
              <c:pt idx="4">
                <c:v>1.006944444444444E-3</c:v>
              </c:pt>
              <c:pt idx="5">
                <c:v>1.8749999999999999E-3</c:v>
              </c:pt>
              <c:pt idx="6">
                <c:v>1.3657407407407409E-3</c:v>
              </c:pt>
              <c:pt idx="7">
                <c:v>1.0763888888888891E-3</c:v>
              </c:pt>
              <c:pt idx="8">
                <c:v>3.8541666666666672E-3</c:v>
              </c:pt>
              <c:pt idx="9">
                <c:v>2.696759259259259E-3</c:v>
              </c:pt>
              <c:pt idx="10">
                <c:v>2.7893518518518519E-3</c:v>
              </c:pt>
              <c:pt idx="11">
                <c:v>1.5277777777777781E-3</c:v>
              </c:pt>
              <c:pt idx="12">
                <c:v>3.2175925925925931E-3</c:v>
              </c:pt>
              <c:pt idx="13">
                <c:v>1.3425925925925921E-3</c:v>
              </c:pt>
              <c:pt idx="14">
                <c:v>1.4120370370370369E-3</c:v>
              </c:pt>
              <c:pt idx="15">
                <c:v>3.5879629629629629E-3</c:v>
              </c:pt>
              <c:pt idx="16">
                <c:v>2.407407407407408E-3</c:v>
              </c:pt>
              <c:pt idx="17">
                <c:v>2.5810185185185189E-3</c:v>
              </c:pt>
              <c:pt idx="18">
                <c:v>9.837962962962962E-4</c:v>
              </c:pt>
              <c:pt idx="19">
                <c:v>4.0162037037037041E-3</c:v>
              </c:pt>
              <c:pt idx="20">
                <c:v>3.2291666666666671E-3</c:v>
              </c:pt>
              <c:pt idx="21">
                <c:v>3.9814814814814817E-3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A51-4EFD-B331-44F4D57F819A}"/>
            </c:ext>
          </c:extLst>
        </c:ser>
        <c:ser>
          <c:idx val="2"/>
          <c:order val="2"/>
          <c:tx>
            <c:v>160-208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27"/>
              <c:pt idx="0">
                <c:v>45663.320555555547</c:v>
              </c:pt>
              <c:pt idx="1">
                <c:v>45663.625601851847</c:v>
              </c:pt>
              <c:pt idx="2">
                <c:v>45664.257916666669</c:v>
              </c:pt>
              <c:pt idx="3">
                <c:v>45664.300185185188</c:v>
              </c:pt>
              <c:pt idx="4">
                <c:v>45665.242071759261</c:v>
              </c:pt>
              <c:pt idx="5">
                <c:v>45665.383171296293</c:v>
              </c:pt>
              <c:pt idx="6">
                <c:v>45665.405057870368</c:v>
              </c:pt>
              <c:pt idx="7">
                <c:v>45665.410243055558</c:v>
              </c:pt>
              <c:pt idx="8">
                <c:v>45665.601805555547</c:v>
              </c:pt>
              <c:pt idx="9">
                <c:v>45666.22216435185</c:v>
              </c:pt>
              <c:pt idx="10">
                <c:v>45666.234907407408</c:v>
              </c:pt>
              <c:pt idx="11">
                <c:v>45666.247800925928</c:v>
              </c:pt>
              <c:pt idx="12">
                <c:v>45666.254710648151</c:v>
              </c:pt>
              <c:pt idx="13">
                <c:v>45666.466423611113</c:v>
              </c:pt>
              <c:pt idx="14">
                <c:v>45666.469780092593</c:v>
              </c:pt>
              <c:pt idx="15">
                <c:v>45666.556631944448</c:v>
              </c:pt>
              <c:pt idx="16">
                <c:v>45666.577291666668</c:v>
              </c:pt>
              <c:pt idx="17">
                <c:v>45666.587326388893</c:v>
              </c:pt>
              <c:pt idx="18">
                <c:v>45666.945335648154</c:v>
              </c:pt>
              <c:pt idx="19">
                <c:v>45667.303055555552</c:v>
              </c:pt>
              <c:pt idx="20">
                <c:v>45667.387673611112</c:v>
              </c:pt>
              <c:pt idx="21">
                <c:v>45667.661226851851</c:v>
              </c:pt>
              <c:pt idx="22">
                <c:v>45668.987037037034</c:v>
              </c:pt>
              <c:pt idx="23">
                <c:v>45669.403113425928</c:v>
              </c:pt>
              <c:pt idx="24">
                <c:v>45669.468391203707</c:v>
              </c:pt>
              <c:pt idx="25">
                <c:v>45669.50172453704</c:v>
              </c:pt>
              <c:pt idx="26">
                <c:v>45669.79928240741</c:v>
              </c:pt>
            </c:numLit>
          </c:xVal>
          <c:yVal>
            <c:numLit>
              <c:formatCode>General</c:formatCode>
              <c:ptCount val="27"/>
              <c:pt idx="0">
                <c:v>1.1111111111111109E-3</c:v>
              </c:pt>
              <c:pt idx="1">
                <c:v>3.414351851851852E-3</c:v>
              </c:pt>
              <c:pt idx="2">
                <c:v>2.5231481481481481E-3</c:v>
              </c:pt>
              <c:pt idx="3">
                <c:v>2.8240740740740739E-3</c:v>
              </c:pt>
              <c:pt idx="4">
                <c:v>2.8472222222222219E-3</c:v>
              </c:pt>
              <c:pt idx="5">
                <c:v>2.488425925925926E-3</c:v>
              </c:pt>
              <c:pt idx="6">
                <c:v>2.407407407407408E-3</c:v>
              </c:pt>
              <c:pt idx="7">
                <c:v>1.631944444444445E-3</c:v>
              </c:pt>
              <c:pt idx="8">
                <c:v>2.2453703703703698E-3</c:v>
              </c:pt>
              <c:pt idx="9">
                <c:v>1.712962962962963E-3</c:v>
              </c:pt>
              <c:pt idx="10">
                <c:v>4.6643518518518518E-3</c:v>
              </c:pt>
              <c:pt idx="11">
                <c:v>1.5162037037037041E-3</c:v>
              </c:pt>
              <c:pt idx="12">
                <c:v>3.5763888888888889E-3</c:v>
              </c:pt>
              <c:pt idx="13">
                <c:v>2.488425925925926E-3</c:v>
              </c:pt>
              <c:pt idx="14">
                <c:v>2.708333333333333E-3</c:v>
              </c:pt>
              <c:pt idx="15">
                <c:v>3.2060185185185191E-3</c:v>
              </c:pt>
              <c:pt idx="16">
                <c:v>2.638888888888889E-3</c:v>
              </c:pt>
              <c:pt idx="17">
                <c:v>3.483796296296296E-3</c:v>
              </c:pt>
              <c:pt idx="18">
                <c:v>1.5046296296296301E-3</c:v>
              </c:pt>
              <c:pt idx="19">
                <c:v>3.8194444444444439E-3</c:v>
              </c:pt>
              <c:pt idx="20">
                <c:v>3.6921296296296298E-3</c:v>
              </c:pt>
              <c:pt idx="21">
                <c:v>1.4930555555555561E-3</c:v>
              </c:pt>
              <c:pt idx="22">
                <c:v>2.5231481481481481E-3</c:v>
              </c:pt>
              <c:pt idx="23">
                <c:v>3.460648148148148E-3</c:v>
              </c:pt>
              <c:pt idx="24">
                <c:v>3.483796296296296E-3</c:v>
              </c:pt>
              <c:pt idx="25">
                <c:v>4.0740740740740737E-3</c:v>
              </c:pt>
              <c:pt idx="26">
                <c:v>2.9513888888888888E-3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A51-4EFD-B331-44F4D57F819A}"/>
            </c:ext>
          </c:extLst>
        </c:ser>
        <c:ser>
          <c:idx val="3"/>
          <c:order val="3"/>
          <c:tx>
            <c:v>208-256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11"/>
              <c:pt idx="0">
                <c:v>45663.218622685177</c:v>
              </c:pt>
              <c:pt idx="1">
                <c:v>45663.222245370373</c:v>
              </c:pt>
              <c:pt idx="2">
                <c:v>45664.276423611111</c:v>
              </c:pt>
              <c:pt idx="3">
                <c:v>45666.240439814806</c:v>
              </c:pt>
              <c:pt idx="4">
                <c:v>45667.553032407413</c:v>
              </c:pt>
              <c:pt idx="5">
                <c:v>45667.55741898148</c:v>
              </c:pt>
              <c:pt idx="6">
                <c:v>45667.636493055557</c:v>
              </c:pt>
              <c:pt idx="7">
                <c:v>45667.687881944446</c:v>
              </c:pt>
              <c:pt idx="8">
                <c:v>45668.547164351847</c:v>
              </c:pt>
              <c:pt idx="9">
                <c:v>45669.346863425933</c:v>
              </c:pt>
              <c:pt idx="10">
                <c:v>45669.925636574073</c:v>
              </c:pt>
            </c:numLit>
          </c:xVal>
          <c:yVal>
            <c:numLit>
              <c:formatCode>General</c:formatCode>
              <c:ptCount val="11"/>
              <c:pt idx="0">
                <c:v>2.743055555555555E-3</c:v>
              </c:pt>
              <c:pt idx="1">
                <c:v>4.2245370370370371E-3</c:v>
              </c:pt>
              <c:pt idx="2">
                <c:v>4.0277777777777777E-3</c:v>
              </c:pt>
              <c:pt idx="3">
                <c:v>1.284722222222222E-3</c:v>
              </c:pt>
              <c:pt idx="4">
                <c:v>3.6226851851851849E-3</c:v>
              </c:pt>
              <c:pt idx="5">
                <c:v>5.347222222222222E-3</c:v>
              </c:pt>
              <c:pt idx="6">
                <c:v>3.391203703703704E-3</c:v>
              </c:pt>
              <c:pt idx="7">
                <c:v>3.7384259259259259E-3</c:v>
              </c:pt>
              <c:pt idx="8">
                <c:v>4.0393518518518521E-3</c:v>
              </c:pt>
              <c:pt idx="9">
                <c:v>4.2708333333333331E-3</c:v>
              </c:pt>
              <c:pt idx="10">
                <c:v>1.770833333333333E-3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A51-4EFD-B331-44F4D57F819A}"/>
            </c:ext>
          </c:extLst>
        </c:ser>
        <c:ser>
          <c:idx val="4"/>
          <c:order val="4"/>
          <c:tx>
            <c:v>256-304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5"/>
              <c:pt idx="0">
                <c:v>45665.429652777777</c:v>
              </c:pt>
              <c:pt idx="1">
                <c:v>45665.905578703707</c:v>
              </c:pt>
              <c:pt idx="2">
                <c:v>45666.551319444443</c:v>
              </c:pt>
              <c:pt idx="3">
                <c:v>45666.808125000003</c:v>
              </c:pt>
              <c:pt idx="4">
                <c:v>45668.888553240737</c:v>
              </c:pt>
            </c:numLit>
          </c:xVal>
          <c:yVal>
            <c:numLit>
              <c:formatCode>General</c:formatCode>
              <c:ptCount val="5"/>
              <c:pt idx="0">
                <c:v>2.5462962962962969E-3</c:v>
              </c:pt>
              <c:pt idx="1">
                <c:v>1.3425925925925921E-3</c:v>
              </c:pt>
              <c:pt idx="2">
                <c:v>2.743055555555555E-3</c:v>
              </c:pt>
              <c:pt idx="3">
                <c:v>3.5532407407407409E-3</c:v>
              </c:pt>
              <c:pt idx="4">
                <c:v>3.9004629629629632E-3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A51-4EFD-B331-44F4D57F8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399679"/>
        <c:axId val="1493400159"/>
      </c:scatterChart>
      <c:valAx>
        <c:axId val="1493399679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93400159"/>
        <c:crosses val="autoZero"/>
        <c:crossBetween val="midCat"/>
      </c:valAx>
      <c:valAx>
        <c:axId val="1493400159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49339967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PushOffDrive - Duration (hh:mm:ss) vs StartedAt, by track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3402559055118108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Track 605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20"/>
              <c:pt idx="0">
                <c:v>45663.225277777783</c:v>
              </c:pt>
              <c:pt idx="1">
                <c:v>45663.625601851847</c:v>
              </c:pt>
              <c:pt idx="2">
                <c:v>45663.627812500003</c:v>
              </c:pt>
              <c:pt idx="3">
                <c:v>45664.276423611111</c:v>
              </c:pt>
              <c:pt idx="4">
                <c:v>45664.279178240737</c:v>
              </c:pt>
              <c:pt idx="5">
                <c:v>45665.239861111113</c:v>
              </c:pt>
              <c:pt idx="6">
                <c:v>45665.387685185182</c:v>
              </c:pt>
              <c:pt idx="7">
                <c:v>45666.235775462963</c:v>
              </c:pt>
              <c:pt idx="8">
                <c:v>45666.238368055558</c:v>
              </c:pt>
              <c:pt idx="9">
                <c:v>45666.242592592593</c:v>
              </c:pt>
              <c:pt idx="10">
                <c:v>45666.565636574072</c:v>
              </c:pt>
              <c:pt idx="11">
                <c:v>45666.945335648154</c:v>
              </c:pt>
              <c:pt idx="12">
                <c:v>45667.325567129628</c:v>
              </c:pt>
              <c:pt idx="13">
                <c:v>45667.561377314807</c:v>
              </c:pt>
              <c:pt idx="14">
                <c:v>45667.661226851851</c:v>
              </c:pt>
              <c:pt idx="15">
                <c:v>45667.842523148152</c:v>
              </c:pt>
              <c:pt idx="16">
                <c:v>45668.519375000003</c:v>
              </c:pt>
              <c:pt idx="17">
                <c:v>45669.468391203707</c:v>
              </c:pt>
              <c:pt idx="18">
                <c:v>45669.470601851863</c:v>
              </c:pt>
              <c:pt idx="19">
                <c:v>45669.679108796299</c:v>
              </c:pt>
            </c:numLit>
          </c:xVal>
          <c:yVal>
            <c:numLit>
              <c:formatCode>General</c:formatCode>
              <c:ptCount val="20"/>
              <c:pt idx="0">
                <c:v>1.19212962962963E-3</c:v>
              </c:pt>
              <c:pt idx="1">
                <c:v>1.273148148148148E-3</c:v>
              </c:pt>
              <c:pt idx="2">
                <c:v>1.203703703703704E-3</c:v>
              </c:pt>
              <c:pt idx="3">
                <c:v>1.30787037037037E-3</c:v>
              </c:pt>
              <c:pt idx="4">
                <c:v>1.273148148148148E-3</c:v>
              </c:pt>
              <c:pt idx="5">
                <c:v>1.3310185185185181E-3</c:v>
              </c:pt>
              <c:pt idx="6">
                <c:v>1.446759259259259E-3</c:v>
              </c:pt>
              <c:pt idx="7">
                <c:v>1.238425925925926E-3</c:v>
              </c:pt>
              <c:pt idx="8">
                <c:v>1.203703703703704E-3</c:v>
              </c:pt>
              <c:pt idx="9">
                <c:v>1.3657407407407409E-3</c:v>
              </c:pt>
              <c:pt idx="10">
                <c:v>1.203703703703704E-3</c:v>
              </c:pt>
              <c:pt idx="11">
                <c:v>1.5046296296296301E-3</c:v>
              </c:pt>
              <c:pt idx="12">
                <c:v>1.273148148148148E-3</c:v>
              </c:pt>
              <c:pt idx="13">
                <c:v>1.3888888888888889E-3</c:v>
              </c:pt>
              <c:pt idx="14">
                <c:v>1.4930555555555561E-3</c:v>
              </c:pt>
              <c:pt idx="15">
                <c:v>1.238425925925926E-3</c:v>
              </c:pt>
              <c:pt idx="16">
                <c:v>1.3888888888888889E-3</c:v>
              </c:pt>
              <c:pt idx="17">
                <c:v>1.30787037037037E-3</c:v>
              </c:pt>
              <c:pt idx="18">
                <c:v>1.273148148148148E-3</c:v>
              </c:pt>
              <c:pt idx="19">
                <c:v>1.273148148148148E-3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CAC-4035-B435-6E219B846F92}"/>
            </c:ext>
          </c:extLst>
        </c:ser>
        <c:ser>
          <c:idx val="1"/>
          <c:order val="1"/>
          <c:tx>
            <c:v>Track 606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11"/>
              <c:pt idx="0">
                <c:v>45664.291331018518</c:v>
              </c:pt>
              <c:pt idx="1">
                <c:v>45664.693993055553</c:v>
              </c:pt>
              <c:pt idx="2">
                <c:v>45665.430891203701</c:v>
              </c:pt>
              <c:pt idx="3">
                <c:v>45665.601805555547</c:v>
              </c:pt>
              <c:pt idx="4">
                <c:v>45666.255925925929</c:v>
              </c:pt>
              <c:pt idx="5">
                <c:v>45667.304814814823</c:v>
              </c:pt>
              <c:pt idx="6">
                <c:v>45667.689074074071</c:v>
              </c:pt>
              <c:pt idx="7">
                <c:v>45668.268750000003</c:v>
              </c:pt>
              <c:pt idx="8">
                <c:v>45668.52076388889</c:v>
              </c:pt>
              <c:pt idx="9">
                <c:v>45668.756504629629</c:v>
              </c:pt>
              <c:pt idx="10">
                <c:v>45668.889525462961</c:v>
              </c:pt>
            </c:numLit>
          </c:xVal>
          <c:yVal>
            <c:numLit>
              <c:formatCode>General</c:formatCode>
              <c:ptCount val="11"/>
              <c:pt idx="0">
                <c:v>1.3541666666666669E-3</c:v>
              </c:pt>
              <c:pt idx="1">
                <c:v>1.30787037037037E-3</c:v>
              </c:pt>
              <c:pt idx="2">
                <c:v>1.30787037037037E-3</c:v>
              </c:pt>
              <c:pt idx="3">
                <c:v>1.226851851851852E-3</c:v>
              </c:pt>
              <c:pt idx="4">
                <c:v>1.226851851851852E-3</c:v>
              </c:pt>
              <c:pt idx="5">
                <c:v>1.19212962962963E-3</c:v>
              </c:pt>
              <c:pt idx="6">
                <c:v>1.3194444444444441E-3</c:v>
              </c:pt>
              <c:pt idx="7">
                <c:v>1.203703703703704E-3</c:v>
              </c:pt>
              <c:pt idx="8">
                <c:v>1.19212962962963E-3</c:v>
              </c:pt>
              <c:pt idx="9">
                <c:v>1.19212962962963E-3</c:v>
              </c:pt>
              <c:pt idx="10">
                <c:v>1.4930555555555561E-3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CAC-4035-B435-6E219B846F92}"/>
            </c:ext>
          </c:extLst>
        </c:ser>
        <c:ser>
          <c:idx val="2"/>
          <c:order val="2"/>
          <c:tx>
            <c:v>Track 607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11"/>
              <c:pt idx="0">
                <c:v>45666.254710648151</c:v>
              </c:pt>
              <c:pt idx="1">
                <c:v>45666.257152777784</c:v>
              </c:pt>
              <c:pt idx="2">
                <c:v>45666.578611111108</c:v>
              </c:pt>
              <c:pt idx="3">
                <c:v>45667.555555555547</c:v>
              </c:pt>
              <c:pt idx="4">
                <c:v>45667.687881944446</c:v>
              </c:pt>
              <c:pt idx="5">
                <c:v>45667.690393518518</c:v>
              </c:pt>
              <c:pt idx="6">
                <c:v>45668.269953703697</c:v>
              </c:pt>
              <c:pt idx="7">
                <c:v>45668.278900462959</c:v>
              </c:pt>
              <c:pt idx="8">
                <c:v>45668.548645833333</c:v>
              </c:pt>
              <c:pt idx="9">
                <c:v>45669.430960648147</c:v>
              </c:pt>
              <c:pt idx="10">
                <c:v>45669.432986111111</c:v>
              </c:pt>
            </c:numLit>
          </c:xVal>
          <c:yVal>
            <c:numLit>
              <c:formatCode>General</c:formatCode>
              <c:ptCount val="11"/>
              <c:pt idx="0">
                <c:v>1.215277777777778E-3</c:v>
              </c:pt>
              <c:pt idx="1">
                <c:v>1.1342592592592589E-3</c:v>
              </c:pt>
              <c:pt idx="2">
                <c:v>1.3194444444444441E-3</c:v>
              </c:pt>
              <c:pt idx="3">
                <c:v>1.0995370370370371E-3</c:v>
              </c:pt>
              <c:pt idx="4">
                <c:v>1.19212962962963E-3</c:v>
              </c:pt>
              <c:pt idx="5">
                <c:v>1.226851851851852E-3</c:v>
              </c:pt>
              <c:pt idx="6">
                <c:v>1.1574074074074069E-3</c:v>
              </c:pt>
              <c:pt idx="7">
                <c:v>1.3425925925925921E-3</c:v>
              </c:pt>
              <c:pt idx="8">
                <c:v>1.1111111111111109E-3</c:v>
              </c:pt>
              <c:pt idx="9">
                <c:v>1.1342592592592589E-3</c:v>
              </c:pt>
              <c:pt idx="10">
                <c:v>1.203703703703704E-3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CAC-4035-B435-6E219B846F92}"/>
            </c:ext>
          </c:extLst>
        </c:ser>
        <c:ser>
          <c:idx val="3"/>
          <c:order val="3"/>
          <c:tx>
            <c:v>Track 609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45666.587326388893</c:v>
              </c:pt>
              <c:pt idx="1">
                <c:v>45666.589745370373</c:v>
              </c:pt>
              <c:pt idx="2">
                <c:v>45668.553020833337</c:v>
              </c:pt>
              <c:pt idx="3">
                <c:v>45669.403113425928</c:v>
              </c:pt>
            </c:numLit>
          </c:xVal>
          <c:yVal>
            <c:numLit>
              <c:formatCode>General</c:formatCode>
              <c:ptCount val="4"/>
              <c:pt idx="0">
                <c:v>1.1458333333333329E-3</c:v>
              </c:pt>
              <c:pt idx="1">
                <c:v>1.0648148148148151E-3</c:v>
              </c:pt>
              <c:pt idx="2">
                <c:v>1.0763888888888891E-3</c:v>
              </c:pt>
              <c:pt idx="3">
                <c:v>1.1574074074074069E-3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CAC-4035-B435-6E219B846F92}"/>
            </c:ext>
          </c:extLst>
        </c:ser>
        <c:ser>
          <c:idx val="4"/>
          <c:order val="4"/>
          <c:tx>
            <c:v>Track 613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25"/>
              <c:pt idx="0">
                <c:v>45663.219502314823</c:v>
              </c:pt>
              <c:pt idx="1">
                <c:v>45664.257916666669</c:v>
              </c:pt>
              <c:pt idx="2">
                <c:v>45664.840150462973</c:v>
              </c:pt>
              <c:pt idx="3">
                <c:v>45665.242071759261</c:v>
              </c:pt>
              <c:pt idx="4">
                <c:v>45665.243946759263</c:v>
              </c:pt>
              <c:pt idx="5">
                <c:v>45665.405057870368</c:v>
              </c:pt>
              <c:pt idx="6">
                <c:v>45665.429652777777</c:v>
              </c:pt>
              <c:pt idx="7">
                <c:v>45666.216562499998</c:v>
              </c:pt>
              <c:pt idx="8">
                <c:v>45666.240439814806</c:v>
              </c:pt>
              <c:pt idx="9">
                <c:v>45666.470613425918</c:v>
              </c:pt>
              <c:pt idx="10">
                <c:v>45666.556631944448</c:v>
              </c:pt>
              <c:pt idx="11">
                <c:v>45666.566840277781</c:v>
              </c:pt>
              <c:pt idx="12">
                <c:v>45666.808125000003</c:v>
              </c:pt>
              <c:pt idx="13">
                <c:v>45666.810682870368</c:v>
              </c:pt>
              <c:pt idx="14">
                <c:v>45667.303877314807</c:v>
              </c:pt>
              <c:pt idx="15">
                <c:v>45667.35665509259</c:v>
              </c:pt>
              <c:pt idx="16">
                <c:v>45667.637314814812</c:v>
              </c:pt>
              <c:pt idx="17">
                <c:v>45667.71303240741</c:v>
              </c:pt>
              <c:pt idx="18">
                <c:v>45667.714791666673</c:v>
              </c:pt>
              <c:pt idx="19">
                <c:v>45668.508518518523</c:v>
              </c:pt>
              <c:pt idx="20">
                <c:v>45668.552083333343</c:v>
              </c:pt>
              <c:pt idx="21">
                <c:v>45668.888553240737</c:v>
              </c:pt>
              <c:pt idx="22">
                <c:v>45668.987037037034</c:v>
              </c:pt>
              <c:pt idx="23">
                <c:v>45669.43209490741</c:v>
              </c:pt>
              <c:pt idx="24">
                <c:v>45669.469699074078</c:v>
              </c:pt>
            </c:numLit>
          </c:xVal>
          <c:yVal>
            <c:numLit>
              <c:formatCode>General</c:formatCode>
              <c:ptCount val="25"/>
              <c:pt idx="0">
                <c:v>1.0300925925925931E-3</c:v>
              </c:pt>
              <c:pt idx="1">
                <c:v>9.3749999999999997E-4</c:v>
              </c:pt>
              <c:pt idx="2">
                <c:v>1.1458333333333329E-3</c:v>
              </c:pt>
              <c:pt idx="3">
                <c:v>9.0277777777777774E-4</c:v>
              </c:pt>
              <c:pt idx="4">
                <c:v>9.7222222222222219E-4</c:v>
              </c:pt>
              <c:pt idx="5">
                <c:v>8.9120370370370373E-4</c:v>
              </c:pt>
              <c:pt idx="6">
                <c:v>1.238425925925926E-3</c:v>
              </c:pt>
              <c:pt idx="7">
                <c:v>9.0277777777777774E-4</c:v>
              </c:pt>
              <c:pt idx="8">
                <c:v>1.284722222222222E-3</c:v>
              </c:pt>
              <c:pt idx="9">
                <c:v>8.9120370370370373E-4</c:v>
              </c:pt>
              <c:pt idx="10">
                <c:v>8.7962962962962962E-4</c:v>
              </c:pt>
              <c:pt idx="11">
                <c:v>9.3749999999999997E-4</c:v>
              </c:pt>
              <c:pt idx="12">
                <c:v>1.0300925925925931E-3</c:v>
              </c:pt>
              <c:pt idx="13">
                <c:v>9.9537037037037042E-4</c:v>
              </c:pt>
              <c:pt idx="14">
                <c:v>9.3749999999999997E-4</c:v>
              </c:pt>
              <c:pt idx="15">
                <c:v>9.0277777777777774E-4</c:v>
              </c:pt>
              <c:pt idx="16">
                <c:v>9.3749999999999997E-4</c:v>
              </c:pt>
              <c:pt idx="17">
                <c:v>9.3749999999999997E-4</c:v>
              </c:pt>
              <c:pt idx="18">
                <c:v>9.3749999999999997E-4</c:v>
              </c:pt>
              <c:pt idx="19">
                <c:v>9.0277777777777774E-4</c:v>
              </c:pt>
              <c:pt idx="20">
                <c:v>9.3749999999999997E-4</c:v>
              </c:pt>
              <c:pt idx="21">
                <c:v>9.7222222222222219E-4</c:v>
              </c:pt>
              <c:pt idx="22">
                <c:v>1.1226851851851849E-3</c:v>
              </c:pt>
              <c:pt idx="23">
                <c:v>8.9120370370370373E-4</c:v>
              </c:pt>
              <c:pt idx="24">
                <c:v>9.0277777777777774E-4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ECAC-4035-B435-6E219B846F92}"/>
            </c:ext>
          </c:extLst>
        </c:ser>
        <c:ser>
          <c:idx val="5"/>
          <c:order val="5"/>
          <c:tx>
            <c:v>Track 615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C564B"/>
              </a:solidFill>
              <a:ln>
                <a:solidFill>
                  <a:srgbClr val="8C564B"/>
                </a:solidFill>
                <a:prstDash val="solid"/>
              </a:ln>
            </c:spPr>
          </c:marker>
          <c:xVal>
            <c:numLit>
              <c:formatCode>General</c:formatCode>
              <c:ptCount val="34"/>
              <c:pt idx="0">
                <c:v>45663.218622685177</c:v>
              </c:pt>
              <c:pt idx="1">
                <c:v>45663.220532407409</c:v>
              </c:pt>
              <c:pt idx="2">
                <c:v>45663.320555555547</c:v>
              </c:pt>
              <c:pt idx="3">
                <c:v>45663.475601851853</c:v>
              </c:pt>
              <c:pt idx="4">
                <c:v>45663.626875000002</c:v>
              </c:pt>
              <c:pt idx="5">
                <c:v>45664.267465277779</c:v>
              </c:pt>
              <c:pt idx="6">
                <c:v>45664.548784722218</c:v>
              </c:pt>
              <c:pt idx="7">
                <c:v>45664.839097222219</c:v>
              </c:pt>
              <c:pt idx="8">
                <c:v>45665.242974537039</c:v>
              </c:pt>
              <c:pt idx="9">
                <c:v>45665.383171296293</c:v>
              </c:pt>
              <c:pt idx="10">
                <c:v>45665.603032407409</c:v>
              </c:pt>
              <c:pt idx="11">
                <c:v>45665.757013888891</c:v>
              </c:pt>
              <c:pt idx="12">
                <c:v>45665.905578703707</c:v>
              </c:pt>
              <c:pt idx="13">
                <c:v>45666.215590277781</c:v>
              </c:pt>
              <c:pt idx="14">
                <c:v>45666.234907407408</c:v>
              </c:pt>
              <c:pt idx="15">
                <c:v>45666.468043981477</c:v>
              </c:pt>
              <c:pt idx="16">
                <c:v>45666.469780092593</c:v>
              </c:pt>
              <c:pt idx="17">
                <c:v>45666.471504629633</c:v>
              </c:pt>
              <c:pt idx="18">
                <c:v>45666.551319444443</c:v>
              </c:pt>
              <c:pt idx="19">
                <c:v>45666.557511574072</c:v>
              </c:pt>
              <c:pt idx="20">
                <c:v>45666.799375000002</c:v>
              </c:pt>
              <c:pt idx="21">
                <c:v>45667.303055555552</c:v>
              </c:pt>
              <c:pt idx="22">
                <c:v>45667.306006944447</c:v>
              </c:pt>
              <c:pt idx="23">
                <c:v>45667.387673611112</c:v>
              </c:pt>
              <c:pt idx="24">
                <c:v>45667.553032407413</c:v>
              </c:pt>
              <c:pt idx="25">
                <c:v>45667.636493055557</c:v>
              </c:pt>
              <c:pt idx="26">
                <c:v>45667.713969907411</c:v>
              </c:pt>
              <c:pt idx="27">
                <c:v>45668.267893518518</c:v>
              </c:pt>
              <c:pt idx="28">
                <c:v>45668.314803240741</c:v>
              </c:pt>
              <c:pt idx="29">
                <c:v>45668.528090277781</c:v>
              </c:pt>
              <c:pt idx="30">
                <c:v>45668.757696759261</c:v>
              </c:pt>
              <c:pt idx="31">
                <c:v>45669.348078703697</c:v>
              </c:pt>
              <c:pt idx="32">
                <c:v>45669.350266203714</c:v>
              </c:pt>
              <c:pt idx="33">
                <c:v>45669.405717592592</c:v>
              </c:pt>
            </c:numLit>
          </c:xVal>
          <c:yVal>
            <c:numLit>
              <c:formatCode>General</c:formatCode>
              <c:ptCount val="34"/>
              <c:pt idx="0">
                <c:v>8.7962962962962962E-4</c:v>
              </c:pt>
              <c:pt idx="1">
                <c:v>8.3333333333333339E-4</c:v>
              </c:pt>
              <c:pt idx="2">
                <c:v>1.1111111111111109E-3</c:v>
              </c:pt>
              <c:pt idx="3">
                <c:v>9.7222222222222219E-4</c:v>
              </c:pt>
              <c:pt idx="4">
                <c:v>9.3749999999999997E-4</c:v>
              </c:pt>
              <c:pt idx="5">
                <c:v>1.0300925925925931E-3</c:v>
              </c:pt>
              <c:pt idx="6">
                <c:v>1.0416666666666671E-3</c:v>
              </c:pt>
              <c:pt idx="7">
                <c:v>1.0532407407407411E-3</c:v>
              </c:pt>
              <c:pt idx="8">
                <c:v>9.7222222222222219E-4</c:v>
              </c:pt>
              <c:pt idx="9">
                <c:v>8.2175925925925927E-4</c:v>
              </c:pt>
              <c:pt idx="10">
                <c:v>1.018518518518518E-3</c:v>
              </c:pt>
              <c:pt idx="11">
                <c:v>1.006944444444444E-3</c:v>
              </c:pt>
              <c:pt idx="12">
                <c:v>1.3425925925925921E-3</c:v>
              </c:pt>
              <c:pt idx="13">
                <c:v>9.7222222222222219E-4</c:v>
              </c:pt>
              <c:pt idx="14">
                <c:v>8.6805555555555551E-4</c:v>
              </c:pt>
              <c:pt idx="15">
                <c:v>8.6805555555555551E-4</c:v>
              </c:pt>
              <c:pt idx="16">
                <c:v>8.3333333333333339E-4</c:v>
              </c:pt>
              <c:pt idx="17">
                <c:v>9.837962962962962E-4</c:v>
              </c:pt>
              <c:pt idx="18">
                <c:v>9.2592592592592596E-4</c:v>
              </c:pt>
              <c:pt idx="19">
                <c:v>9.6064814814814819E-4</c:v>
              </c:pt>
              <c:pt idx="20">
                <c:v>1.0763888888888891E-3</c:v>
              </c:pt>
              <c:pt idx="21">
                <c:v>8.2175925925925927E-4</c:v>
              </c:pt>
              <c:pt idx="22">
                <c:v>8.6805555555555551E-4</c:v>
              </c:pt>
              <c:pt idx="23">
                <c:v>9.0277777777777774E-4</c:v>
              </c:pt>
              <c:pt idx="24">
                <c:v>1.0300925925925931E-3</c:v>
              </c:pt>
              <c:pt idx="25">
                <c:v>8.2175925925925927E-4</c:v>
              </c:pt>
              <c:pt idx="26">
                <c:v>8.2175925925925927E-4</c:v>
              </c:pt>
              <c:pt idx="27">
                <c:v>8.564814814814815E-4</c:v>
              </c:pt>
              <c:pt idx="28">
                <c:v>8.6805555555555551E-4</c:v>
              </c:pt>
              <c:pt idx="29">
                <c:v>9.837962962962962E-4</c:v>
              </c:pt>
              <c:pt idx="30">
                <c:v>8.6805555555555551E-4</c:v>
              </c:pt>
              <c:pt idx="31">
                <c:v>8.6805555555555551E-4</c:v>
              </c:pt>
              <c:pt idx="32">
                <c:v>8.6805555555555551E-4</c:v>
              </c:pt>
              <c:pt idx="33">
                <c:v>8.564814814814815E-4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ECAC-4035-B435-6E219B846F92}"/>
            </c:ext>
          </c:extLst>
        </c:ser>
        <c:ser>
          <c:idx val="6"/>
          <c:order val="6"/>
          <c:tx>
            <c:v>Track 619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E377C2"/>
              </a:solidFill>
              <a:ln>
                <a:solidFill>
                  <a:srgbClr val="E377C2"/>
                </a:solidFill>
                <a:prstDash val="solid"/>
              </a:ln>
            </c:spPr>
          </c:marker>
          <c:xVal>
            <c:numLit>
              <c:formatCode>General</c:formatCode>
              <c:ptCount val="14"/>
              <c:pt idx="0">
                <c:v>45664.286377314813</c:v>
              </c:pt>
              <c:pt idx="1">
                <c:v>45664.300185185188</c:v>
              </c:pt>
              <c:pt idx="2">
                <c:v>45665.410243055558</c:v>
              </c:pt>
              <c:pt idx="3">
                <c:v>45666.244826388887</c:v>
              </c:pt>
              <c:pt idx="4">
                <c:v>45666.558472222219</c:v>
              </c:pt>
              <c:pt idx="5">
                <c:v>45667.389976851853</c:v>
              </c:pt>
              <c:pt idx="6">
                <c:v>45667.55741898148</c:v>
              </c:pt>
              <c:pt idx="7">
                <c:v>45667.559988425928</c:v>
              </c:pt>
              <c:pt idx="8">
                <c:v>45667.94667824074</c:v>
              </c:pt>
              <c:pt idx="9">
                <c:v>45668.257106481477</c:v>
              </c:pt>
              <c:pt idx="10">
                <c:v>45668.547164351847</c:v>
              </c:pt>
              <c:pt idx="11">
                <c:v>45668.549756944441</c:v>
              </c:pt>
              <c:pt idx="12">
                <c:v>45669.504374999997</c:v>
              </c:pt>
              <c:pt idx="13">
                <c:v>45669.676400462973</c:v>
              </c:pt>
            </c:numLit>
          </c:xVal>
          <c:yVal>
            <c:numLit>
              <c:formatCode>General</c:formatCode>
              <c:ptCount val="14"/>
              <c:pt idx="0">
                <c:v>1.4120370370370369E-3</c:v>
              </c:pt>
              <c:pt idx="1">
                <c:v>1.435185185185185E-3</c:v>
              </c:pt>
              <c:pt idx="2">
                <c:v>1.631944444444445E-3</c:v>
              </c:pt>
              <c:pt idx="3">
                <c:v>1.3310185185185181E-3</c:v>
              </c:pt>
              <c:pt idx="4">
                <c:v>1.3657407407407409E-3</c:v>
              </c:pt>
              <c:pt idx="5">
                <c:v>1.3888888888888889E-3</c:v>
              </c:pt>
              <c:pt idx="6">
                <c:v>1.3541666666666669E-3</c:v>
              </c:pt>
              <c:pt idx="7">
                <c:v>1.3888888888888889E-3</c:v>
              </c:pt>
              <c:pt idx="8">
                <c:v>1.3541666666666669E-3</c:v>
              </c:pt>
              <c:pt idx="9">
                <c:v>1.5277777777777781E-3</c:v>
              </c:pt>
              <c:pt idx="10">
                <c:v>1.481481481481481E-3</c:v>
              </c:pt>
              <c:pt idx="11">
                <c:v>1.446759259259259E-3</c:v>
              </c:pt>
              <c:pt idx="12">
                <c:v>1.423611111111111E-3</c:v>
              </c:pt>
              <c:pt idx="13">
                <c:v>1.3888888888888889E-3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ECAC-4035-B435-6E219B846F92}"/>
            </c:ext>
          </c:extLst>
        </c:ser>
        <c:ser>
          <c:idx val="7"/>
          <c:order val="7"/>
          <c:tx>
            <c:v>Track 623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7F7F7F"/>
              </a:solidFill>
              <a:ln>
                <a:solidFill>
                  <a:srgbClr val="7F7F7F"/>
                </a:solidFill>
                <a:prstDash val="solid"/>
              </a:ln>
            </c:spPr>
          </c:marker>
          <c:xVal>
            <c:numLit>
              <c:formatCode>General</c:formatCode>
              <c:ptCount val="16"/>
              <c:pt idx="0">
                <c:v>45664.285173611112</c:v>
              </c:pt>
              <c:pt idx="1">
                <c:v>45664.301620370366</c:v>
              </c:pt>
              <c:pt idx="2">
                <c:v>45665.405949074076</c:v>
              </c:pt>
              <c:pt idx="3">
                <c:v>45666.247800925928</c:v>
              </c:pt>
              <c:pt idx="4">
                <c:v>45666.577291666668</c:v>
              </c:pt>
              <c:pt idx="5">
                <c:v>45666.588472222233</c:v>
              </c:pt>
              <c:pt idx="6">
                <c:v>45667.326840277783</c:v>
              </c:pt>
              <c:pt idx="7">
                <c:v>45667.357557870368</c:v>
              </c:pt>
              <c:pt idx="8">
                <c:v>45667.55877314815</c:v>
              </c:pt>
              <c:pt idx="9">
                <c:v>45667.945462962962</c:v>
              </c:pt>
              <c:pt idx="10">
                <c:v>45667.94803240741</c:v>
              </c:pt>
              <c:pt idx="11">
                <c:v>45668.295844907407</c:v>
              </c:pt>
              <c:pt idx="12">
                <c:v>45668.536851851852</c:v>
              </c:pt>
              <c:pt idx="13">
                <c:v>45669.346863425933</c:v>
              </c:pt>
              <c:pt idx="14">
                <c:v>45669.348946759259</c:v>
              </c:pt>
              <c:pt idx="15">
                <c:v>45669.503125000003</c:v>
              </c:pt>
            </c:numLit>
          </c:xVal>
          <c:yVal>
            <c:numLit>
              <c:formatCode>General</c:formatCode>
              <c:ptCount val="16"/>
              <c:pt idx="0">
                <c:v>1.203703703703704E-3</c:v>
              </c:pt>
              <c:pt idx="1">
                <c:v>1.3888888888888889E-3</c:v>
              </c:pt>
              <c:pt idx="2">
                <c:v>1.5162037037037041E-3</c:v>
              </c:pt>
              <c:pt idx="3">
                <c:v>1.5162037037037041E-3</c:v>
              </c:pt>
              <c:pt idx="4">
                <c:v>1.3194444444444441E-3</c:v>
              </c:pt>
              <c:pt idx="5">
                <c:v>1.273148148148148E-3</c:v>
              </c:pt>
              <c:pt idx="6">
                <c:v>1.226851851851852E-3</c:v>
              </c:pt>
              <c:pt idx="7">
                <c:v>1.296296296296296E-3</c:v>
              </c:pt>
              <c:pt idx="8">
                <c:v>1.215277777777778E-3</c:v>
              </c:pt>
              <c:pt idx="9">
                <c:v>1.215277777777778E-3</c:v>
              </c:pt>
              <c:pt idx="10">
                <c:v>1.215277777777778E-3</c:v>
              </c:pt>
              <c:pt idx="11">
                <c:v>1.4120370370370369E-3</c:v>
              </c:pt>
              <c:pt idx="12">
                <c:v>1.25E-3</c:v>
              </c:pt>
              <c:pt idx="13">
                <c:v>1.215277777777778E-3</c:v>
              </c:pt>
              <c:pt idx="14">
                <c:v>1.3194444444444441E-3</c:v>
              </c:pt>
              <c:pt idx="15">
                <c:v>1.25E-3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ECAC-4035-B435-6E219B846F92}"/>
            </c:ext>
          </c:extLst>
        </c:ser>
        <c:ser>
          <c:idx val="8"/>
          <c:order val="8"/>
          <c:tx>
            <c:v>Track 625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BCBD22"/>
              </a:solidFill>
              <a:ln>
                <a:solidFill>
                  <a:srgbClr val="BCBD22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45663.223761574067</c:v>
              </c:pt>
              <c:pt idx="1">
                <c:v>45664.25885416667</c:v>
              </c:pt>
              <c:pt idx="2">
                <c:v>45665.237361111111</c:v>
              </c:pt>
              <c:pt idx="3">
                <c:v>45665.383993055562</c:v>
              </c:pt>
              <c:pt idx="4">
                <c:v>45666.22216435185</c:v>
              </c:pt>
              <c:pt idx="5">
                <c:v>45666.466423611113</c:v>
              </c:pt>
              <c:pt idx="6">
                <c:v>45666.552245370367</c:v>
              </c:pt>
              <c:pt idx="7">
                <c:v>45666.809155092589</c:v>
              </c:pt>
              <c:pt idx="8">
                <c:v>45667.554062499999</c:v>
              </c:pt>
              <c:pt idx="9">
                <c:v>45667.638252314813</c:v>
              </c:pt>
              <c:pt idx="10">
                <c:v>45667.84097222222</c:v>
              </c:pt>
              <c:pt idx="11">
                <c:v>45668.312083333331</c:v>
              </c:pt>
              <c:pt idx="12">
                <c:v>45668.507013888891</c:v>
              </c:pt>
              <c:pt idx="13">
                <c:v>45668.535451388889</c:v>
              </c:pt>
              <c:pt idx="14">
                <c:v>45668.988159722219</c:v>
              </c:pt>
              <c:pt idx="15">
                <c:v>45669.404270833344</c:v>
              </c:pt>
              <c:pt idx="16">
                <c:v>45669.80064814815</c:v>
              </c:pt>
            </c:numLit>
          </c:xVal>
          <c:yVal>
            <c:numLit>
              <c:formatCode>General</c:formatCode>
              <c:ptCount val="17"/>
              <c:pt idx="0">
                <c:v>1.5162037037037041E-3</c:v>
              </c:pt>
              <c:pt idx="1">
                <c:v>1.5856481481481481E-3</c:v>
              </c:pt>
              <c:pt idx="2">
                <c:v>1.631944444444445E-3</c:v>
              </c:pt>
              <c:pt idx="3">
                <c:v>1.666666666666667E-3</c:v>
              </c:pt>
              <c:pt idx="4">
                <c:v>1.712962962962963E-3</c:v>
              </c:pt>
              <c:pt idx="5">
                <c:v>1.6203703703703701E-3</c:v>
              </c:pt>
              <c:pt idx="6">
                <c:v>1.8171296296296299E-3</c:v>
              </c:pt>
              <c:pt idx="7">
                <c:v>1.5277777777777781E-3</c:v>
              </c:pt>
              <c:pt idx="8">
                <c:v>1.4930555555555561E-3</c:v>
              </c:pt>
              <c:pt idx="9">
                <c:v>1.631944444444445E-3</c:v>
              </c:pt>
              <c:pt idx="10">
                <c:v>1.5509259259259261E-3</c:v>
              </c:pt>
              <c:pt idx="11">
                <c:v>1.4004629629629629E-3</c:v>
              </c:pt>
              <c:pt idx="12">
                <c:v>1.5046296296296301E-3</c:v>
              </c:pt>
              <c:pt idx="13">
                <c:v>1.4004629629629629E-3</c:v>
              </c:pt>
              <c:pt idx="14">
                <c:v>1.4004629629629629E-3</c:v>
              </c:pt>
              <c:pt idx="15">
                <c:v>1.446759259259259E-3</c:v>
              </c:pt>
              <c:pt idx="16">
                <c:v>1.5856481481481481E-3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ECAC-4035-B435-6E219B846F92}"/>
            </c:ext>
          </c:extLst>
        </c:ser>
        <c:ser>
          <c:idx val="9"/>
          <c:order val="9"/>
          <c:tx>
            <c:v>Track 627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7BECF"/>
              </a:solidFill>
              <a:ln>
                <a:solidFill>
                  <a:srgbClr val="17BECF"/>
                </a:solidFill>
                <a:prstDash val="solid"/>
              </a:ln>
            </c:spPr>
          </c:marker>
          <c:xVal>
            <c:numLit>
              <c:formatCode>General</c:formatCode>
              <c:ptCount val="14"/>
              <c:pt idx="0">
                <c:v>45663.222245370373</c:v>
              </c:pt>
              <c:pt idx="1">
                <c:v>45664.277731481481</c:v>
              </c:pt>
              <c:pt idx="2">
                <c:v>45664.283865740741</c:v>
              </c:pt>
              <c:pt idx="3">
                <c:v>45665.235798611109</c:v>
              </c:pt>
              <c:pt idx="4">
                <c:v>45666.237013888887</c:v>
              </c:pt>
              <c:pt idx="5">
                <c:v>45667.328067129631</c:v>
              </c:pt>
              <c:pt idx="6">
                <c:v>45667.38857638889</c:v>
              </c:pt>
              <c:pt idx="7">
                <c:v>45668.313483796293</c:v>
              </c:pt>
              <c:pt idx="8">
                <c:v>45668.534085648149</c:v>
              </c:pt>
              <c:pt idx="9">
                <c:v>45668.891018518523</c:v>
              </c:pt>
              <c:pt idx="10">
                <c:v>45669.50172453704</c:v>
              </c:pt>
              <c:pt idx="11">
                <c:v>45669.677789351852</c:v>
              </c:pt>
              <c:pt idx="12">
                <c:v>45669.79928240741</c:v>
              </c:pt>
              <c:pt idx="13">
                <c:v>45669.925636574073</c:v>
              </c:pt>
            </c:numLit>
          </c:xVal>
          <c:yVal>
            <c:numLit>
              <c:formatCode>General</c:formatCode>
              <c:ptCount val="14"/>
              <c:pt idx="0">
                <c:v>1.5162037037037041E-3</c:v>
              </c:pt>
              <c:pt idx="1">
                <c:v>1.446759259259259E-3</c:v>
              </c:pt>
              <c:pt idx="2">
                <c:v>1.30787037037037E-3</c:v>
              </c:pt>
              <c:pt idx="3">
                <c:v>1.5625000000000001E-3</c:v>
              </c:pt>
              <c:pt idx="4">
                <c:v>1.3541666666666669E-3</c:v>
              </c:pt>
              <c:pt idx="5">
                <c:v>1.3541666666666669E-3</c:v>
              </c:pt>
              <c:pt idx="6">
                <c:v>1.4004629629629629E-3</c:v>
              </c:pt>
              <c:pt idx="7">
                <c:v>1.3194444444444441E-3</c:v>
              </c:pt>
              <c:pt idx="8">
                <c:v>1.3657407407407409E-3</c:v>
              </c:pt>
              <c:pt idx="9">
                <c:v>1.435185185185185E-3</c:v>
              </c:pt>
              <c:pt idx="10">
                <c:v>1.4004629629629629E-3</c:v>
              </c:pt>
              <c:pt idx="11">
                <c:v>1.3194444444444441E-3</c:v>
              </c:pt>
              <c:pt idx="12">
                <c:v>1.3657407407407409E-3</c:v>
              </c:pt>
              <c:pt idx="13">
                <c:v>1.770833333333333E-3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ECAC-4035-B435-6E219B846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03999"/>
        <c:axId val="1493404479"/>
      </c:scatterChart>
      <c:valAx>
        <c:axId val="1493403999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93404479"/>
        <c:crosses val="autoZero"/>
        <c:crossBetween val="midCat"/>
      </c:valAx>
      <c:valAx>
        <c:axId val="1493404479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49340399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Securing - Duration (hh:mm:ss) vs StartedAt, by length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4370078740157484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32-42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32"/>
              <c:pt idx="0">
                <c:v>45663.224594907413</c:v>
              </c:pt>
              <c:pt idx="1">
                <c:v>45663.227789351848</c:v>
              </c:pt>
              <c:pt idx="2">
                <c:v>45663.322465277779</c:v>
              </c:pt>
              <c:pt idx="3">
                <c:v>45663.477361111109</c:v>
              </c:pt>
              <c:pt idx="4">
                <c:v>45664.29446759259</c:v>
              </c:pt>
              <c:pt idx="5">
                <c:v>45664.297731481478</c:v>
              </c:pt>
              <c:pt idx="6">
                <c:v>45664.55060185185</c:v>
              </c:pt>
              <c:pt idx="7">
                <c:v>45664.84101851852</c:v>
              </c:pt>
              <c:pt idx="8">
                <c:v>45664.842141203713</c:v>
              </c:pt>
              <c:pt idx="9">
                <c:v>45665.238206018519</c:v>
              </c:pt>
              <c:pt idx="10">
                <c:v>45665.239861111113</c:v>
              </c:pt>
              <c:pt idx="11">
                <c:v>45665.242060185177</c:v>
              </c:pt>
              <c:pt idx="12">
                <c:v>45665.38486111111</c:v>
              </c:pt>
              <c:pt idx="13">
                <c:v>45665.406724537039</c:v>
              </c:pt>
              <c:pt idx="14">
                <c:v>45666.218252314808</c:v>
              </c:pt>
              <c:pt idx="15">
                <c:v>45666.252962962957</c:v>
              </c:pt>
              <c:pt idx="16">
                <c:v>45666.257465277777</c:v>
              </c:pt>
              <c:pt idx="17">
                <c:v>45666.472291666672</c:v>
              </c:pt>
              <c:pt idx="18">
                <c:v>45666.553113425929</c:v>
              </c:pt>
              <c:pt idx="19">
                <c:v>45666.567604166667</c:v>
              </c:pt>
              <c:pt idx="20">
                <c:v>45667.304745370369</c:v>
              </c:pt>
              <c:pt idx="21">
                <c:v>45667.328935185193</c:v>
              </c:pt>
              <c:pt idx="22">
                <c:v>45667.557430555556</c:v>
              </c:pt>
              <c:pt idx="23">
                <c:v>45667.638182870367</c:v>
              </c:pt>
              <c:pt idx="24">
                <c:v>45667.663518518522</c:v>
              </c:pt>
              <c:pt idx="25">
                <c:v>45667.947546296287</c:v>
              </c:pt>
              <c:pt idx="26">
                <c:v>45667.948900462958</c:v>
              </c:pt>
              <c:pt idx="27">
                <c:v>45668.270821759259</c:v>
              </c:pt>
              <c:pt idx="28">
                <c:v>45668.565104166657</c:v>
              </c:pt>
              <c:pt idx="29">
                <c:v>45668.990335648137</c:v>
              </c:pt>
              <c:pt idx="30">
                <c:v>45669.43378472222</c:v>
              </c:pt>
              <c:pt idx="31">
                <c:v>45669.679976851847</c:v>
              </c:pt>
            </c:numLit>
          </c:xVal>
          <c:yVal>
            <c:numLit>
              <c:formatCode>General</c:formatCode>
              <c:ptCount val="32"/>
              <c:pt idx="0">
                <c:v>3.2638888888888891E-3</c:v>
              </c:pt>
              <c:pt idx="1">
                <c:v>2.9629629629629628E-3</c:v>
              </c:pt>
              <c:pt idx="2">
                <c:v>2.9629629629629628E-3</c:v>
              </c:pt>
              <c:pt idx="3">
                <c:v>2.9629629629629628E-3</c:v>
              </c:pt>
              <c:pt idx="4">
                <c:v>2.9629629629629628E-3</c:v>
              </c:pt>
              <c:pt idx="5">
                <c:v>2.9629629629629628E-3</c:v>
              </c:pt>
              <c:pt idx="6">
                <c:v>2.9629629629629628E-3</c:v>
              </c:pt>
              <c:pt idx="7">
                <c:v>3.2638888888888891E-3</c:v>
              </c:pt>
              <c:pt idx="8">
                <c:v>3.2523148148148151E-3</c:v>
              </c:pt>
              <c:pt idx="9">
                <c:v>3.2638888888888891E-3</c:v>
              </c:pt>
              <c:pt idx="10">
                <c:v>3.2638888888888891E-3</c:v>
              </c:pt>
              <c:pt idx="11">
                <c:v>3.2638888888888891E-3</c:v>
              </c:pt>
              <c:pt idx="12">
                <c:v>3.2638888888888891E-3</c:v>
              </c:pt>
              <c:pt idx="13">
                <c:v>2.9629629629629628E-3</c:v>
              </c:pt>
              <c:pt idx="14">
                <c:v>2.9629629629629628E-3</c:v>
              </c:pt>
              <c:pt idx="15">
                <c:v>2.9629629629629628E-3</c:v>
              </c:pt>
              <c:pt idx="16">
                <c:v>2.9629629629629628E-3</c:v>
              </c:pt>
              <c:pt idx="17">
                <c:v>2.9629629629629628E-3</c:v>
              </c:pt>
              <c:pt idx="18">
                <c:v>3.2638888888888891E-3</c:v>
              </c:pt>
              <c:pt idx="19">
                <c:v>2.9629629629629628E-3</c:v>
              </c:pt>
              <c:pt idx="20">
                <c:v>3.2523148148148151E-3</c:v>
              </c:pt>
              <c:pt idx="21">
                <c:v>3.2523148148148151E-3</c:v>
              </c:pt>
              <c:pt idx="22">
                <c:v>2.9629629629629628E-3</c:v>
              </c:pt>
              <c:pt idx="23">
                <c:v>3.2638888888888891E-3</c:v>
              </c:pt>
              <c:pt idx="24">
                <c:v>2.9629629629629628E-3</c:v>
              </c:pt>
              <c:pt idx="25">
                <c:v>3.2638888888888891E-3</c:v>
              </c:pt>
              <c:pt idx="26">
                <c:v>3.2523148148148151E-3</c:v>
              </c:pt>
              <c:pt idx="27">
                <c:v>3.2523148148148151E-3</c:v>
              </c:pt>
              <c:pt idx="28">
                <c:v>3.2523148148148151E-3</c:v>
              </c:pt>
              <c:pt idx="29">
                <c:v>2.9629629629629628E-3</c:v>
              </c:pt>
              <c:pt idx="30">
                <c:v>2.9629629629629628E-3</c:v>
              </c:pt>
              <c:pt idx="31">
                <c:v>3.2638888888888891E-3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A28-44F2-A305-7FE1EC80CE1E}"/>
            </c:ext>
          </c:extLst>
        </c:ser>
        <c:ser>
          <c:idx val="1"/>
          <c:order val="1"/>
          <c:tx>
            <c:v>42-51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25"/>
              <c:pt idx="0">
                <c:v>45663.221296296288</c:v>
              </c:pt>
              <c:pt idx="1">
                <c:v>45664.269363425927</c:v>
              </c:pt>
              <c:pt idx="2">
                <c:v>45665.907754629632</c:v>
              </c:pt>
              <c:pt idx="3">
                <c:v>45666.217418981483</c:v>
              </c:pt>
              <c:pt idx="4">
                <c:v>45666.224664351852</c:v>
              </c:pt>
              <c:pt idx="5">
                <c:v>45666.237881944442</c:v>
              </c:pt>
              <c:pt idx="6">
                <c:v>45666.264988425923</c:v>
              </c:pt>
              <c:pt idx="7">
                <c:v>45666.469780092593</c:v>
              </c:pt>
              <c:pt idx="8">
                <c:v>45666.810023148151</c:v>
              </c:pt>
              <c:pt idx="9">
                <c:v>45667.305659722217</c:v>
              </c:pt>
              <c:pt idx="10">
                <c:v>45667.392233796287</c:v>
              </c:pt>
              <c:pt idx="11">
                <c:v>45667.554907407408</c:v>
              </c:pt>
              <c:pt idx="12">
                <c:v>45667.640729166669</c:v>
              </c:pt>
              <c:pt idx="13">
                <c:v>45667.714837962973</c:v>
              </c:pt>
              <c:pt idx="14">
                <c:v>45667.843368055554</c:v>
              </c:pt>
              <c:pt idx="15">
                <c:v>45667.844629629632</c:v>
              </c:pt>
              <c:pt idx="16">
                <c:v>45668.271898148138</c:v>
              </c:pt>
              <c:pt idx="17">
                <c:v>45668.320243055547</c:v>
              </c:pt>
              <c:pt idx="18">
                <c:v>45668.539907407408</c:v>
              </c:pt>
              <c:pt idx="19">
                <c:v>45668.565104166657</c:v>
              </c:pt>
              <c:pt idx="20">
                <c:v>45668.570092592592</c:v>
              </c:pt>
              <c:pt idx="21">
                <c:v>45668.571215277778</c:v>
              </c:pt>
              <c:pt idx="22">
                <c:v>45668.759328703702</c:v>
              </c:pt>
              <c:pt idx="23">
                <c:v>45669.407442129632</c:v>
              </c:pt>
              <c:pt idx="24">
                <c:v>45669.505219907413</c:v>
              </c:pt>
            </c:numLit>
          </c:xVal>
          <c:yVal>
            <c:numLit>
              <c:formatCode>General</c:formatCode>
              <c:ptCount val="25"/>
              <c:pt idx="0">
                <c:v>4.4444444444444436E-3</c:v>
              </c:pt>
              <c:pt idx="1">
                <c:v>4.8842592592592592E-3</c:v>
              </c:pt>
              <c:pt idx="2">
                <c:v>4.8842592592592592E-3</c:v>
              </c:pt>
              <c:pt idx="3">
                <c:v>4.8842592592592592E-3</c:v>
              </c:pt>
              <c:pt idx="4">
                <c:v>4.4444444444444436E-3</c:v>
              </c:pt>
              <c:pt idx="5">
                <c:v>4.8842592592592592E-3</c:v>
              </c:pt>
              <c:pt idx="6">
                <c:v>4.8842592592592592E-3</c:v>
              </c:pt>
              <c:pt idx="7">
                <c:v>4.8842592592592592E-3</c:v>
              </c:pt>
              <c:pt idx="8">
                <c:v>4.8842592592592592E-3</c:v>
              </c:pt>
              <c:pt idx="9">
                <c:v>4.8842592592592592E-3</c:v>
              </c:pt>
              <c:pt idx="10">
                <c:v>4.8842592592592592E-3</c:v>
              </c:pt>
              <c:pt idx="11">
                <c:v>4.8842592592592592E-3</c:v>
              </c:pt>
              <c:pt idx="12">
                <c:v>4.8842592592592592E-3</c:v>
              </c:pt>
              <c:pt idx="13">
                <c:v>4.8842592592592592E-3</c:v>
              </c:pt>
              <c:pt idx="14">
                <c:v>4.8842592592592592E-3</c:v>
              </c:pt>
              <c:pt idx="15">
                <c:v>4.8842592592592592E-3</c:v>
              </c:pt>
              <c:pt idx="16">
                <c:v>4.4444444444444436E-3</c:v>
              </c:pt>
              <c:pt idx="17">
                <c:v>4.4444444444444436E-3</c:v>
              </c:pt>
              <c:pt idx="18">
                <c:v>4.8958333333333336E-3</c:v>
              </c:pt>
              <c:pt idx="19">
                <c:v>4.8842592592592592E-3</c:v>
              </c:pt>
              <c:pt idx="20">
                <c:v>4.8958333333333336E-3</c:v>
              </c:pt>
              <c:pt idx="21">
                <c:v>4.4444444444444436E-3</c:v>
              </c:pt>
              <c:pt idx="22">
                <c:v>4.4444444444444436E-3</c:v>
              </c:pt>
              <c:pt idx="23">
                <c:v>4.8842592592592592E-3</c:v>
              </c:pt>
              <c:pt idx="24">
                <c:v>4.8958333333333336E-3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A28-44F2-A305-7FE1EC80CE1E}"/>
            </c:ext>
          </c:extLst>
        </c:ser>
        <c:ser>
          <c:idx val="2"/>
          <c:order val="2"/>
          <c:tx>
            <c:v>61-70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45663.220289351862</c:v>
              </c:pt>
              <c:pt idx="1">
                <c:v>45664.294560185182</c:v>
              </c:pt>
              <c:pt idx="2">
                <c:v>45665.408333333333</c:v>
              </c:pt>
              <c:pt idx="3">
                <c:v>45665.75885416667</c:v>
              </c:pt>
              <c:pt idx="4">
                <c:v>45666.468888888892</c:v>
              </c:pt>
              <c:pt idx="5">
                <c:v>45666.811550925922</c:v>
              </c:pt>
              <c:pt idx="6">
                <c:v>45667.327708333331</c:v>
              </c:pt>
              <c:pt idx="7">
                <c:v>45667.390821759262</c:v>
              </c:pt>
              <c:pt idx="8">
                <c:v>45669.506643518522</c:v>
              </c:pt>
              <c:pt idx="9">
                <c:v>45669.681226851862</c:v>
              </c:pt>
            </c:numLit>
          </c:xVal>
          <c:yVal>
            <c:numLit>
              <c:formatCode>General</c:formatCode>
              <c:ptCount val="10"/>
              <c:pt idx="0">
                <c:v>5.9259259259259256E-3</c:v>
              </c:pt>
              <c:pt idx="1">
                <c:v>6.5162037037037037E-3</c:v>
              </c:pt>
              <c:pt idx="2">
                <c:v>6.5162037037037037E-3</c:v>
              </c:pt>
              <c:pt idx="3">
                <c:v>6.5162037037037037E-3</c:v>
              </c:pt>
              <c:pt idx="4">
                <c:v>6.5277777777777782E-3</c:v>
              </c:pt>
              <c:pt idx="5">
                <c:v>6.5162037037037037E-3</c:v>
              </c:pt>
              <c:pt idx="6">
                <c:v>6.5277777777777782E-3</c:v>
              </c:pt>
              <c:pt idx="7">
                <c:v>6.5162037037037037E-3</c:v>
              </c:pt>
              <c:pt idx="8">
                <c:v>6.5162037037037037E-3</c:v>
              </c:pt>
              <c:pt idx="9">
                <c:v>6.5162037037037037E-3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A28-44F2-A305-7FE1EC80CE1E}"/>
            </c:ext>
          </c:extLst>
        </c:ser>
        <c:ser>
          <c:idx val="3"/>
          <c:order val="3"/>
          <c:tx>
            <c:v>70-80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45663.22729166667</c:v>
              </c:pt>
              <c:pt idx="1">
                <c:v>45664.278599537043</c:v>
              </c:pt>
              <c:pt idx="2">
                <c:v>45664.282789351862</c:v>
              </c:pt>
              <c:pt idx="3">
                <c:v>45665.421666666669</c:v>
              </c:pt>
              <c:pt idx="4">
                <c:v>45665.439872685187</c:v>
              </c:pt>
              <c:pt idx="5">
                <c:v>45666.261979166673</c:v>
              </c:pt>
              <c:pt idx="6">
                <c:v>45666.554895833331</c:v>
              </c:pt>
              <c:pt idx="7">
                <c:v>45666.60392361111</c:v>
              </c:pt>
              <c:pt idx="8">
                <c:v>45666.604074074072</c:v>
              </c:pt>
              <c:pt idx="9">
                <c:v>45666.60428240741</c:v>
              </c:pt>
              <c:pt idx="10">
                <c:v>45666.801319444443</c:v>
              </c:pt>
              <c:pt idx="11">
                <c:v>45668.509386574071</c:v>
              </c:pt>
              <c:pt idx="12">
                <c:v>45668.89329861111</c:v>
              </c:pt>
              <c:pt idx="13">
                <c:v>45668.989027777781</c:v>
              </c:pt>
              <c:pt idx="14">
                <c:v>45669.470567129632</c:v>
              </c:pt>
            </c:numLit>
          </c:xVal>
          <c:yVal>
            <c:numLit>
              <c:formatCode>General</c:formatCode>
              <c:ptCount val="15"/>
              <c:pt idx="0">
                <c:v>7.4074074074074077E-3</c:v>
              </c:pt>
              <c:pt idx="1">
                <c:v>8.1481481481481474E-3</c:v>
              </c:pt>
              <c:pt idx="2">
                <c:v>7.4074074074074077E-3</c:v>
              </c:pt>
              <c:pt idx="3">
                <c:v>7.4074074074074077E-3</c:v>
              </c:pt>
              <c:pt idx="4">
                <c:v>7.4074074074074077E-3</c:v>
              </c:pt>
              <c:pt idx="5">
                <c:v>7.4074074074074077E-3</c:v>
              </c:pt>
              <c:pt idx="6">
                <c:v>8.1481481481481474E-3</c:v>
              </c:pt>
              <c:pt idx="7">
                <c:v>7.4074074074074077E-3</c:v>
              </c:pt>
              <c:pt idx="8">
                <c:v>8.1481481481481474E-3</c:v>
              </c:pt>
              <c:pt idx="9">
                <c:v>7.4074074074074077E-3</c:v>
              </c:pt>
              <c:pt idx="10">
                <c:v>8.1481481481481474E-3</c:v>
              </c:pt>
              <c:pt idx="11">
                <c:v>8.1481481481481474E-3</c:v>
              </c:pt>
              <c:pt idx="12">
                <c:v>8.1481481481481474E-3</c:v>
              </c:pt>
              <c:pt idx="13">
                <c:v>8.1481481481481474E-3</c:v>
              </c:pt>
              <c:pt idx="14">
                <c:v>8.1481481481481474E-3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A28-44F2-A305-7FE1EC80C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456671"/>
        <c:axId val="1584455711"/>
      </c:scatterChart>
      <c:valAx>
        <c:axId val="1584456671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84455711"/>
        <c:crosses val="autoZero"/>
        <c:crossBetween val="midCat"/>
      </c:valAx>
      <c:valAx>
        <c:axId val="1584455711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58445667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Coupling - Duration (hh:mm:ss) vs StartedAt, by length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4370078740157484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32-42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53"/>
              <c:pt idx="0">
                <c:v>45663.628599537027</c:v>
              </c:pt>
              <c:pt idx="1">
                <c:v>45663.629861111112</c:v>
              </c:pt>
              <c:pt idx="2">
                <c:v>45664.29173611111</c:v>
              </c:pt>
              <c:pt idx="3">
                <c:v>45664.299004629633</c:v>
              </c:pt>
              <c:pt idx="4">
                <c:v>45664.3</c:v>
              </c:pt>
              <c:pt idx="5">
                <c:v>45664.303229166668</c:v>
              </c:pt>
              <c:pt idx="6">
                <c:v>45664.696168981478</c:v>
              </c:pt>
              <c:pt idx="7">
                <c:v>45665.243819444448</c:v>
              </c:pt>
              <c:pt idx="8">
                <c:v>45665.24560185185</c:v>
              </c:pt>
              <c:pt idx="9">
                <c:v>45665.387314814812</c:v>
              </c:pt>
              <c:pt idx="10">
                <c:v>45665.388148148151</c:v>
              </c:pt>
              <c:pt idx="11">
                <c:v>45665.388923611114</c:v>
              </c:pt>
              <c:pt idx="12">
                <c:v>45665.39</c:v>
              </c:pt>
              <c:pt idx="13">
                <c:v>45665.416585648149</c:v>
              </c:pt>
              <c:pt idx="14">
                <c:v>45665.423217592594</c:v>
              </c:pt>
              <c:pt idx="15">
                <c:v>45665.908518518518</c:v>
              </c:pt>
              <c:pt idx="16">
                <c:v>45666.240405092591</c:v>
              </c:pt>
              <c:pt idx="17">
                <c:v>45666.253576388888</c:v>
              </c:pt>
              <c:pt idx="18">
                <c:v>45666.258425925917</c:v>
              </c:pt>
              <c:pt idx="19">
                <c:v>45666.270925925928</c:v>
              </c:pt>
              <c:pt idx="20">
                <c:v>45666.469664351847</c:v>
              </c:pt>
              <c:pt idx="21">
                <c:v>45666.470497685194</c:v>
              </c:pt>
              <c:pt idx="22">
                <c:v>45666.558379629627</c:v>
              </c:pt>
              <c:pt idx="23">
                <c:v>45666.612905092603</c:v>
              </c:pt>
              <c:pt idx="24">
                <c:v>45666.812337962961</c:v>
              </c:pt>
              <c:pt idx="25">
                <c:v>45666.948541666658</c:v>
              </c:pt>
              <c:pt idx="26">
                <c:v>45666.949386574073</c:v>
              </c:pt>
              <c:pt idx="27">
                <c:v>45666.950254629628</c:v>
              </c:pt>
              <c:pt idx="28">
                <c:v>45667.306851851848</c:v>
              </c:pt>
              <c:pt idx="29">
                <c:v>45667.358391203707</c:v>
              </c:pt>
              <c:pt idx="30">
                <c:v>45667.556608796287</c:v>
              </c:pt>
              <c:pt idx="31">
                <c:v>45667.559560185182</c:v>
              </c:pt>
              <c:pt idx="32">
                <c:v>45667.561493055553</c:v>
              </c:pt>
              <c:pt idx="33">
                <c:v>45667.715624999997</c:v>
              </c:pt>
              <c:pt idx="34">
                <c:v>45667.950092592589</c:v>
              </c:pt>
              <c:pt idx="35">
                <c:v>45668.25949074074</c:v>
              </c:pt>
              <c:pt idx="36">
                <c:v>45668.281886574077</c:v>
              </c:pt>
              <c:pt idx="37">
                <c:v>45668.298981481479</c:v>
              </c:pt>
              <c:pt idx="38">
                <c:v>45668.299849537027</c:v>
              </c:pt>
              <c:pt idx="39">
                <c:v>45668.314247685194</c:v>
              </c:pt>
              <c:pt idx="40">
                <c:v>45668.315671296303</c:v>
              </c:pt>
              <c:pt idx="41">
                <c:v>45668.510289351849</c:v>
              </c:pt>
              <c:pt idx="42">
                <c:v>45668.522499999999</c:v>
              </c:pt>
              <c:pt idx="43">
                <c:v>45668.522812499999</c:v>
              </c:pt>
              <c:pt idx="44">
                <c:v>45668.529872685183</c:v>
              </c:pt>
              <c:pt idx="45">
                <c:v>45668.539780092593</c:v>
              </c:pt>
              <c:pt idx="46">
                <c:v>45668.75854166667</c:v>
              </c:pt>
              <c:pt idx="47">
                <c:v>45669.348923611113</c:v>
              </c:pt>
              <c:pt idx="48">
                <c:v>45669.351111111107</c:v>
              </c:pt>
              <c:pt idx="49">
                <c:v>45669.432939814818</c:v>
              </c:pt>
              <c:pt idx="50">
                <c:v>45669.471388888887</c:v>
              </c:pt>
              <c:pt idx="51">
                <c:v>45669.92827546296</c:v>
              </c:pt>
              <c:pt idx="52">
                <c:v>45669.93074074074</c:v>
              </c:pt>
            </c:numLit>
          </c:xVal>
          <c:yVal>
            <c:numLit>
              <c:formatCode>General</c:formatCode>
              <c:ptCount val="53"/>
              <c:pt idx="0">
                <c:v>4.4444444444444436E-3</c:v>
              </c:pt>
              <c:pt idx="1">
                <c:v>4.8842592592592592E-3</c:v>
              </c:pt>
              <c:pt idx="2">
                <c:v>4.4444444444444436E-3</c:v>
              </c:pt>
              <c:pt idx="3">
                <c:v>4.4444444444444436E-3</c:v>
              </c:pt>
              <c:pt idx="4">
                <c:v>4.8958333333333336E-3</c:v>
              </c:pt>
              <c:pt idx="5">
                <c:v>4.8958333333333336E-3</c:v>
              </c:pt>
              <c:pt idx="6">
                <c:v>4.8958333333333336E-3</c:v>
              </c:pt>
              <c:pt idx="7">
                <c:v>4.8958333333333336E-3</c:v>
              </c:pt>
              <c:pt idx="8">
                <c:v>4.8958333333333336E-3</c:v>
              </c:pt>
              <c:pt idx="9">
                <c:v>4.8842592592592592E-3</c:v>
              </c:pt>
              <c:pt idx="10">
                <c:v>4.8842592592592592E-3</c:v>
              </c:pt>
              <c:pt idx="11">
                <c:v>4.4444444444444436E-3</c:v>
              </c:pt>
              <c:pt idx="12">
                <c:v>4.8842592592592592E-3</c:v>
              </c:pt>
              <c:pt idx="13">
                <c:v>4.8958333333333336E-3</c:v>
              </c:pt>
              <c:pt idx="14">
                <c:v>4.8842592592592592E-3</c:v>
              </c:pt>
              <c:pt idx="15">
                <c:v>4.4444444444444436E-3</c:v>
              </c:pt>
              <c:pt idx="16">
                <c:v>4.8958333333333336E-3</c:v>
              </c:pt>
              <c:pt idx="17">
                <c:v>4.8842592592592592E-3</c:v>
              </c:pt>
              <c:pt idx="18">
                <c:v>4.8842592592592592E-3</c:v>
              </c:pt>
              <c:pt idx="19">
                <c:v>4.4444444444444436E-3</c:v>
              </c:pt>
              <c:pt idx="20">
                <c:v>4.4444444444444436E-3</c:v>
              </c:pt>
              <c:pt idx="21">
                <c:v>4.8958333333333336E-3</c:v>
              </c:pt>
              <c:pt idx="22">
                <c:v>4.8958333333333336E-3</c:v>
              </c:pt>
              <c:pt idx="23">
                <c:v>4.4444444444444436E-3</c:v>
              </c:pt>
              <c:pt idx="24">
                <c:v>4.4444444444444436E-3</c:v>
              </c:pt>
              <c:pt idx="25">
                <c:v>4.8842592592592592E-3</c:v>
              </c:pt>
              <c:pt idx="26">
                <c:v>4.8958333333333336E-3</c:v>
              </c:pt>
              <c:pt idx="27">
                <c:v>4.8958333333333336E-3</c:v>
              </c:pt>
              <c:pt idx="28">
                <c:v>4.8842592592592592E-3</c:v>
              </c:pt>
              <c:pt idx="29">
                <c:v>4.8958333333333336E-3</c:v>
              </c:pt>
              <c:pt idx="30">
                <c:v>4.8958333333333336E-3</c:v>
              </c:pt>
              <c:pt idx="31">
                <c:v>4.4444444444444436E-3</c:v>
              </c:pt>
              <c:pt idx="32">
                <c:v>4.8842592592592592E-3</c:v>
              </c:pt>
              <c:pt idx="33">
                <c:v>4.8958333333333336E-3</c:v>
              </c:pt>
              <c:pt idx="34">
                <c:v>4.8958333333333336E-3</c:v>
              </c:pt>
              <c:pt idx="35">
                <c:v>4.8842592592592592E-3</c:v>
              </c:pt>
              <c:pt idx="36">
                <c:v>4.4444444444444436E-3</c:v>
              </c:pt>
              <c:pt idx="37">
                <c:v>4.8842592592592592E-3</c:v>
              </c:pt>
              <c:pt idx="38">
                <c:v>4.8842592592592592E-3</c:v>
              </c:pt>
              <c:pt idx="39">
                <c:v>4.4444444444444436E-3</c:v>
              </c:pt>
              <c:pt idx="40">
                <c:v>4.8958333333333336E-3</c:v>
              </c:pt>
              <c:pt idx="41">
                <c:v>4.8958333333333336E-3</c:v>
              </c:pt>
              <c:pt idx="42">
                <c:v>4.8842592592592592E-3</c:v>
              </c:pt>
              <c:pt idx="43">
                <c:v>4.8842592592592592E-3</c:v>
              </c:pt>
              <c:pt idx="44">
                <c:v>4.4444444444444436E-3</c:v>
              </c:pt>
              <c:pt idx="45">
                <c:v>4.4444444444444436E-3</c:v>
              </c:pt>
              <c:pt idx="46">
                <c:v>4.8842592592592592E-3</c:v>
              </c:pt>
              <c:pt idx="47">
                <c:v>4.8958333333333336E-3</c:v>
              </c:pt>
              <c:pt idx="48">
                <c:v>4.8842592592592592E-3</c:v>
              </c:pt>
              <c:pt idx="49">
                <c:v>4.8842592592592592E-3</c:v>
              </c:pt>
              <c:pt idx="50">
                <c:v>4.4444444444444436E-3</c:v>
              </c:pt>
              <c:pt idx="51">
                <c:v>4.8842592592592592E-3</c:v>
              </c:pt>
              <c:pt idx="52">
                <c:v>4.4444444444444436E-3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20F-45EC-B2DC-70FAF2A61FB3}"/>
            </c:ext>
          </c:extLst>
        </c:ser>
        <c:ser>
          <c:idx val="1"/>
          <c:order val="1"/>
          <c:tx>
            <c:v>42-51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63"/>
              <c:pt idx="0">
                <c:v>45663.22215277778</c:v>
              </c:pt>
              <c:pt idx="1">
                <c:v>45663.222233796303</c:v>
              </c:pt>
              <c:pt idx="2">
                <c:v>45663.324074074073</c:v>
              </c:pt>
              <c:pt idx="3">
                <c:v>45663.629444444443</c:v>
              </c:pt>
              <c:pt idx="4">
                <c:v>45664.259722222218</c:v>
              </c:pt>
              <c:pt idx="5">
                <c:v>45664.262152777781</c:v>
              </c:pt>
              <c:pt idx="6">
                <c:v>45664.302395833343</c:v>
              </c:pt>
              <c:pt idx="7">
                <c:v>45664.306631944448</c:v>
              </c:pt>
              <c:pt idx="8">
                <c:v>45664.551469907397</c:v>
              </c:pt>
              <c:pt idx="9">
                <c:v>45664.552337962959</c:v>
              </c:pt>
              <c:pt idx="10">
                <c:v>45664.69703703704</c:v>
              </c:pt>
              <c:pt idx="11">
                <c:v>45665.386446759258</c:v>
              </c:pt>
              <c:pt idx="12">
                <c:v>45665.390844907408</c:v>
              </c:pt>
              <c:pt idx="13">
                <c:v>45665.426874999997</c:v>
              </c:pt>
              <c:pt idx="14">
                <c:v>45665.431655092587</c:v>
              </c:pt>
              <c:pt idx="15">
                <c:v>45665.603900462957</c:v>
              </c:pt>
              <c:pt idx="16">
                <c:v>45665.604837962957</c:v>
              </c:pt>
              <c:pt idx="17">
                <c:v>45665.759722222218</c:v>
              </c:pt>
              <c:pt idx="18">
                <c:v>45665.910243055558</c:v>
              </c:pt>
              <c:pt idx="19">
                <c:v>45666.218182870369</c:v>
              </c:pt>
              <c:pt idx="20">
                <c:v>45666.225532407407</c:v>
              </c:pt>
              <c:pt idx="21">
                <c:v>45666.236539351848</c:v>
              </c:pt>
              <c:pt idx="22">
                <c:v>45666.239224537043</c:v>
              </c:pt>
              <c:pt idx="23">
                <c:v>45666.244502314818</c:v>
              </c:pt>
              <c:pt idx="24">
                <c:v>45666.244756944441</c:v>
              </c:pt>
              <c:pt idx="25">
                <c:v>45666.248252314806</c:v>
              </c:pt>
              <c:pt idx="26">
                <c:v>45666.257268518522</c:v>
              </c:pt>
              <c:pt idx="27">
                <c:v>45666.271550925929</c:v>
              </c:pt>
              <c:pt idx="28">
                <c:v>45666.47148148148</c:v>
              </c:pt>
              <c:pt idx="29">
                <c:v>45666.4765162037</c:v>
              </c:pt>
              <c:pt idx="30">
                <c:v>45666.55395833333</c:v>
              </c:pt>
              <c:pt idx="31">
                <c:v>45666.559340277781</c:v>
              </c:pt>
              <c:pt idx="32">
                <c:v>45666.562986111108</c:v>
              </c:pt>
              <c:pt idx="33">
                <c:v>45666.564710648148</c:v>
              </c:pt>
              <c:pt idx="34">
                <c:v>45666.568645833337</c:v>
              </c:pt>
              <c:pt idx="35">
                <c:v>45666.613240740742</c:v>
              </c:pt>
              <c:pt idx="36">
                <c:v>45666.810868055552</c:v>
              </c:pt>
              <c:pt idx="37">
                <c:v>45667.307743055557</c:v>
              </c:pt>
              <c:pt idx="38">
                <c:v>45667.330266203702</c:v>
              </c:pt>
              <c:pt idx="39">
                <c:v>45667.55574074074</c:v>
              </c:pt>
              <c:pt idx="40">
                <c:v>45667.562152777777</c:v>
              </c:pt>
              <c:pt idx="41">
                <c:v>45667.564745370371</c:v>
              </c:pt>
              <c:pt idx="42">
                <c:v>45667.639027777783</c:v>
              </c:pt>
              <c:pt idx="43">
                <c:v>45667.721458333333</c:v>
              </c:pt>
              <c:pt idx="44">
                <c:v>45667.844236111108</c:v>
              </c:pt>
              <c:pt idx="45">
                <c:v>45668.269594907397</c:v>
              </c:pt>
              <c:pt idx="46">
                <c:v>45668.281087962961</c:v>
              </c:pt>
              <c:pt idx="47">
                <c:v>45668.287905092591</c:v>
              </c:pt>
              <c:pt idx="48">
                <c:v>45668.300625000003</c:v>
              </c:pt>
              <c:pt idx="49">
                <c:v>45668.536238425928</c:v>
              </c:pt>
              <c:pt idx="50">
                <c:v>45668.571331018517</c:v>
              </c:pt>
              <c:pt idx="51">
                <c:v>45668.891793981478</c:v>
              </c:pt>
              <c:pt idx="52">
                <c:v>45668.893414351849</c:v>
              </c:pt>
              <c:pt idx="53">
                <c:v>45668.989872685182</c:v>
              </c:pt>
              <c:pt idx="54">
                <c:v>45669.349814814806</c:v>
              </c:pt>
              <c:pt idx="55">
                <c:v>45669.351909722223</c:v>
              </c:pt>
              <c:pt idx="56">
                <c:v>45669.351979166669</c:v>
              </c:pt>
              <c:pt idx="57">
                <c:v>45669.406504629631</c:v>
              </c:pt>
              <c:pt idx="58">
                <c:v>45669.67863425926</c:v>
              </c:pt>
              <c:pt idx="59">
                <c:v>45669.801481481481</c:v>
              </c:pt>
              <c:pt idx="60">
                <c:v>45669.803101851852</c:v>
              </c:pt>
              <c:pt idx="61">
                <c:v>45669.929108796299</c:v>
              </c:pt>
              <c:pt idx="62">
                <c:v>45669.9299537037</c:v>
              </c:pt>
            </c:numLit>
          </c:xVal>
          <c:yVal>
            <c:numLit>
              <c:formatCode>General</c:formatCode>
              <c:ptCount val="63"/>
              <c:pt idx="0">
                <c:v>7.3263888888888892E-3</c:v>
              </c:pt>
              <c:pt idx="1">
                <c:v>7.3379629629629628E-3</c:v>
              </c:pt>
              <c:pt idx="2">
                <c:v>7.3379629629629628E-3</c:v>
              </c:pt>
              <c:pt idx="3">
                <c:v>7.3263888888888892E-3</c:v>
              </c:pt>
              <c:pt idx="4">
                <c:v>7.3263888888888892E-3</c:v>
              </c:pt>
              <c:pt idx="5">
                <c:v>7.3379629629629628E-3</c:v>
              </c:pt>
              <c:pt idx="6">
                <c:v>6.6666666666666671E-3</c:v>
              </c:pt>
              <c:pt idx="7">
                <c:v>7.3263888888888892E-3</c:v>
              </c:pt>
              <c:pt idx="8">
                <c:v>7.3263888888888892E-3</c:v>
              </c:pt>
              <c:pt idx="9">
                <c:v>7.3263888888888892E-3</c:v>
              </c:pt>
              <c:pt idx="10">
                <c:v>7.3379629629629628E-3</c:v>
              </c:pt>
              <c:pt idx="11">
                <c:v>6.6666666666666671E-3</c:v>
              </c:pt>
              <c:pt idx="12">
                <c:v>7.3263888888888892E-3</c:v>
              </c:pt>
              <c:pt idx="13">
                <c:v>6.6666666666666671E-3</c:v>
              </c:pt>
              <c:pt idx="14">
                <c:v>6.6666666666666671E-3</c:v>
              </c:pt>
              <c:pt idx="15">
                <c:v>7.3379629629629628E-3</c:v>
              </c:pt>
              <c:pt idx="16">
                <c:v>6.6666666666666671E-3</c:v>
              </c:pt>
              <c:pt idx="17">
                <c:v>7.3379629629629628E-3</c:v>
              </c:pt>
              <c:pt idx="18">
                <c:v>7.3263888888888892E-3</c:v>
              </c:pt>
              <c:pt idx="19">
                <c:v>6.6666666666666671E-3</c:v>
              </c:pt>
              <c:pt idx="20">
                <c:v>7.3379629629629628E-3</c:v>
              </c:pt>
              <c:pt idx="21">
                <c:v>6.6666666666666671E-3</c:v>
              </c:pt>
              <c:pt idx="22">
                <c:v>7.3263888888888892E-3</c:v>
              </c:pt>
              <c:pt idx="23">
                <c:v>7.3379629629629628E-3</c:v>
              </c:pt>
              <c:pt idx="24">
                <c:v>6.6666666666666671E-3</c:v>
              </c:pt>
              <c:pt idx="25">
                <c:v>7.3263888888888892E-3</c:v>
              </c:pt>
              <c:pt idx="26">
                <c:v>7.3379629629629628E-3</c:v>
              </c:pt>
              <c:pt idx="27">
                <c:v>7.3263888888888892E-3</c:v>
              </c:pt>
              <c:pt idx="28">
                <c:v>7.3379629629629628E-3</c:v>
              </c:pt>
              <c:pt idx="29">
                <c:v>7.3379629629629628E-3</c:v>
              </c:pt>
              <c:pt idx="30">
                <c:v>7.3379629629629628E-3</c:v>
              </c:pt>
              <c:pt idx="31">
                <c:v>7.3263888888888892E-3</c:v>
              </c:pt>
              <c:pt idx="32">
                <c:v>7.3379629629629628E-3</c:v>
              </c:pt>
              <c:pt idx="33">
                <c:v>7.3379629629629628E-3</c:v>
              </c:pt>
              <c:pt idx="34">
                <c:v>7.3263888888888892E-3</c:v>
              </c:pt>
              <c:pt idx="35">
                <c:v>6.6666666666666671E-3</c:v>
              </c:pt>
              <c:pt idx="36">
                <c:v>7.3379629629629628E-3</c:v>
              </c:pt>
              <c:pt idx="37">
                <c:v>7.3263888888888892E-3</c:v>
              </c:pt>
              <c:pt idx="38">
                <c:v>7.3263888888888892E-3</c:v>
              </c:pt>
              <c:pt idx="39">
                <c:v>7.3379629629629628E-3</c:v>
              </c:pt>
              <c:pt idx="40">
                <c:v>6.6666666666666671E-3</c:v>
              </c:pt>
              <c:pt idx="41">
                <c:v>7.3379629629629628E-3</c:v>
              </c:pt>
              <c:pt idx="42">
                <c:v>6.6666666666666671E-3</c:v>
              </c:pt>
              <c:pt idx="43">
                <c:v>7.3379629629629628E-3</c:v>
              </c:pt>
              <c:pt idx="44">
                <c:v>7.3263888888888892E-3</c:v>
              </c:pt>
              <c:pt idx="45">
                <c:v>7.3379629629629628E-3</c:v>
              </c:pt>
              <c:pt idx="46">
                <c:v>7.3379629629629628E-3</c:v>
              </c:pt>
              <c:pt idx="47">
                <c:v>6.6666666666666671E-3</c:v>
              </c:pt>
              <c:pt idx="48">
                <c:v>6.6666666666666671E-3</c:v>
              </c:pt>
              <c:pt idx="49">
                <c:v>6.6666666666666671E-3</c:v>
              </c:pt>
              <c:pt idx="50">
                <c:v>7.3263888888888892E-3</c:v>
              </c:pt>
              <c:pt idx="51">
                <c:v>6.6666666666666671E-3</c:v>
              </c:pt>
              <c:pt idx="52">
                <c:v>6.6666666666666671E-3</c:v>
              </c:pt>
              <c:pt idx="53">
                <c:v>7.3379629629629628E-3</c:v>
              </c:pt>
              <c:pt idx="54">
                <c:v>7.3263888888888892E-3</c:v>
              </c:pt>
              <c:pt idx="55">
                <c:v>6.6666666666666671E-3</c:v>
              </c:pt>
              <c:pt idx="56">
                <c:v>7.3263888888888892E-3</c:v>
              </c:pt>
              <c:pt idx="57">
                <c:v>6.6666666666666671E-3</c:v>
              </c:pt>
              <c:pt idx="58">
                <c:v>7.3379629629629628E-3</c:v>
              </c:pt>
              <c:pt idx="59">
                <c:v>7.3379629629629628E-3</c:v>
              </c:pt>
              <c:pt idx="60">
                <c:v>7.3379629629629628E-3</c:v>
              </c:pt>
              <c:pt idx="61">
                <c:v>7.3379629629629628E-3</c:v>
              </c:pt>
              <c:pt idx="62">
                <c:v>7.3379629629629628E-3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20F-45EC-B2DC-70FAF2A61FB3}"/>
            </c:ext>
          </c:extLst>
        </c:ser>
        <c:ser>
          <c:idx val="2"/>
          <c:order val="2"/>
          <c:tx>
            <c:v>61-70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38"/>
              <c:pt idx="0">
                <c:v>45663.478125000001</c:v>
              </c:pt>
              <c:pt idx="1">
                <c:v>45663.627650462957</c:v>
              </c:pt>
              <c:pt idx="2">
                <c:v>45664.261307870373</c:v>
              </c:pt>
              <c:pt idx="3">
                <c:v>45664.288483796299</c:v>
              </c:pt>
              <c:pt idx="4">
                <c:v>45664.305034722223</c:v>
              </c:pt>
              <c:pt idx="5">
                <c:v>45665.242905092593</c:v>
              </c:pt>
              <c:pt idx="6">
                <c:v>45665.244733796288</c:v>
              </c:pt>
              <c:pt idx="7">
                <c:v>45665.245694444442</c:v>
              </c:pt>
              <c:pt idx="8">
                <c:v>45665.393935185188</c:v>
              </c:pt>
              <c:pt idx="9">
                <c:v>45665.411226851851</c:v>
              </c:pt>
              <c:pt idx="10">
                <c:v>45665.435115740736</c:v>
              </c:pt>
              <c:pt idx="11">
                <c:v>45665.4455787037</c:v>
              </c:pt>
              <c:pt idx="12">
                <c:v>45665.60560185185</c:v>
              </c:pt>
              <c:pt idx="13">
                <c:v>45665.909386574072</c:v>
              </c:pt>
              <c:pt idx="14">
                <c:v>45665.911030092589</c:v>
              </c:pt>
              <c:pt idx="15">
                <c:v>45666.246967592589</c:v>
              </c:pt>
              <c:pt idx="16">
                <c:v>45666.260196759264</c:v>
              </c:pt>
              <c:pt idx="17">
                <c:v>45666.266296296293</c:v>
              </c:pt>
              <c:pt idx="18">
                <c:v>45666.271597222221</c:v>
              </c:pt>
              <c:pt idx="19">
                <c:v>45666.475648148153</c:v>
              </c:pt>
              <c:pt idx="20">
                <c:v>45666.55568287037</c:v>
              </c:pt>
              <c:pt idx="21">
                <c:v>45666.556458333333</c:v>
              </c:pt>
              <c:pt idx="22">
                <c:v>45666.604768518519</c:v>
              </c:pt>
              <c:pt idx="23">
                <c:v>45666.802152777767</c:v>
              </c:pt>
              <c:pt idx="24">
                <c:v>45666.94767361111</c:v>
              </c:pt>
              <c:pt idx="25">
                <c:v>45667.359722222223</c:v>
              </c:pt>
              <c:pt idx="26">
                <c:v>45667.389444444438</c:v>
              </c:pt>
              <c:pt idx="27">
                <c:v>45667.563634259262</c:v>
              </c:pt>
              <c:pt idx="28">
                <c:v>45667.664351851847</c:v>
              </c:pt>
              <c:pt idx="29">
                <c:v>45667.668055555558</c:v>
              </c:pt>
              <c:pt idx="30">
                <c:v>45667.689872685187</c:v>
              </c:pt>
              <c:pt idx="31">
                <c:v>45668.890393518523</c:v>
              </c:pt>
              <c:pt idx="32">
                <c:v>45668.892627314817</c:v>
              </c:pt>
              <c:pt idx="33">
                <c:v>45669.435057870367</c:v>
              </c:pt>
              <c:pt idx="34">
                <c:v>45669.472743055558</c:v>
              </c:pt>
              <c:pt idx="35">
                <c:v>45669.503993055558</c:v>
              </c:pt>
              <c:pt idx="36">
                <c:v>45669.803946759261</c:v>
              </c:pt>
              <c:pt idx="37">
                <c:v>45669.931608796287</c:v>
              </c:pt>
            </c:numLit>
          </c:xVal>
          <c:yVal>
            <c:numLit>
              <c:formatCode>General</c:formatCode>
              <c:ptCount val="38"/>
              <c:pt idx="0">
                <c:v>8.8888888888888889E-3</c:v>
              </c:pt>
              <c:pt idx="1">
                <c:v>8.8888888888888889E-3</c:v>
              </c:pt>
              <c:pt idx="2">
                <c:v>9.780092592592592E-3</c:v>
              </c:pt>
              <c:pt idx="3">
                <c:v>9.780092592592592E-3</c:v>
              </c:pt>
              <c:pt idx="4">
                <c:v>8.8888888888888889E-3</c:v>
              </c:pt>
              <c:pt idx="5">
                <c:v>9.7685185185185184E-3</c:v>
              </c:pt>
              <c:pt idx="6">
                <c:v>8.8888888888888889E-3</c:v>
              </c:pt>
              <c:pt idx="7">
                <c:v>8.8888888888888889E-3</c:v>
              </c:pt>
              <c:pt idx="8">
                <c:v>9.780092592592592E-3</c:v>
              </c:pt>
              <c:pt idx="9">
                <c:v>8.8888888888888889E-3</c:v>
              </c:pt>
              <c:pt idx="10">
                <c:v>8.8888888888888889E-3</c:v>
              </c:pt>
              <c:pt idx="11">
                <c:v>8.8888888888888889E-3</c:v>
              </c:pt>
              <c:pt idx="12">
                <c:v>8.8888888888888889E-3</c:v>
              </c:pt>
              <c:pt idx="13">
                <c:v>9.780092592592592E-3</c:v>
              </c:pt>
              <c:pt idx="14">
                <c:v>8.8888888888888889E-3</c:v>
              </c:pt>
              <c:pt idx="15">
                <c:v>9.780092592592592E-3</c:v>
              </c:pt>
              <c:pt idx="16">
                <c:v>9.780092592592592E-3</c:v>
              </c:pt>
              <c:pt idx="17">
                <c:v>9.780092592592592E-3</c:v>
              </c:pt>
              <c:pt idx="18">
                <c:v>8.8888888888888889E-3</c:v>
              </c:pt>
              <c:pt idx="19">
                <c:v>8.8888888888888889E-3</c:v>
              </c:pt>
              <c:pt idx="20">
                <c:v>8.8888888888888889E-3</c:v>
              </c:pt>
              <c:pt idx="21">
                <c:v>8.8888888888888889E-3</c:v>
              </c:pt>
              <c:pt idx="22">
                <c:v>9.780092592592592E-3</c:v>
              </c:pt>
              <c:pt idx="23">
                <c:v>9.780092592592592E-3</c:v>
              </c:pt>
              <c:pt idx="24">
                <c:v>9.780092592592592E-3</c:v>
              </c:pt>
              <c:pt idx="25">
                <c:v>9.780092592592592E-3</c:v>
              </c:pt>
              <c:pt idx="26">
                <c:v>9.7685185185185184E-3</c:v>
              </c:pt>
              <c:pt idx="27">
                <c:v>9.780092592592592E-3</c:v>
              </c:pt>
              <c:pt idx="28">
                <c:v>9.780092592592592E-3</c:v>
              </c:pt>
              <c:pt idx="29">
                <c:v>8.8888888888888889E-3</c:v>
              </c:pt>
              <c:pt idx="30">
                <c:v>8.8888888888888889E-3</c:v>
              </c:pt>
              <c:pt idx="31">
                <c:v>9.780092592592592E-3</c:v>
              </c:pt>
              <c:pt idx="32">
                <c:v>9.780092592592592E-3</c:v>
              </c:pt>
              <c:pt idx="33">
                <c:v>9.780092592592592E-3</c:v>
              </c:pt>
              <c:pt idx="34">
                <c:v>9.780092592592592E-3</c:v>
              </c:pt>
              <c:pt idx="35">
                <c:v>9.7685185185185184E-3</c:v>
              </c:pt>
              <c:pt idx="36">
                <c:v>9.780092592592592E-3</c:v>
              </c:pt>
              <c:pt idx="37">
                <c:v>9.780092592592592E-3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20F-45EC-B2DC-70FAF2A61FB3}"/>
            </c:ext>
          </c:extLst>
        </c:ser>
        <c:ser>
          <c:idx val="3"/>
          <c:order val="3"/>
          <c:tx>
            <c:v>70-80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14"/>
              <c:pt idx="0">
                <c:v>45663.225462962961</c:v>
              </c:pt>
              <c:pt idx="1">
                <c:v>45663.323229166657</c:v>
              </c:pt>
              <c:pt idx="2">
                <c:v>45664.270138888889</c:v>
              </c:pt>
              <c:pt idx="3">
                <c:v>45666.226377314822</c:v>
              </c:pt>
              <c:pt idx="4">
                <c:v>45666.812442129631</c:v>
              </c:pt>
              <c:pt idx="5">
                <c:v>45667.556423611109</c:v>
              </c:pt>
              <c:pt idx="6">
                <c:v>45667.641516203701</c:v>
              </c:pt>
              <c:pt idx="7">
                <c:v>45667.691261574073</c:v>
              </c:pt>
              <c:pt idx="8">
                <c:v>45667.692476851851</c:v>
              </c:pt>
              <c:pt idx="9">
                <c:v>45668.260358796288</c:v>
              </c:pt>
              <c:pt idx="10">
                <c:v>45668.521631944437</c:v>
              </c:pt>
              <c:pt idx="11">
                <c:v>45668.530717592592</c:v>
              </c:pt>
              <c:pt idx="12">
                <c:v>45668.572199074071</c:v>
              </c:pt>
              <c:pt idx="13">
                <c:v>45669.405115740738</c:v>
              </c:pt>
            </c:numLit>
          </c:xVal>
          <c:yVal>
            <c:numLit>
              <c:formatCode>General</c:formatCode>
              <c:ptCount val="14"/>
              <c:pt idx="0">
                <c:v>1.2222222222222219E-2</c:v>
              </c:pt>
              <c:pt idx="1">
                <c:v>1.111111111111111E-2</c:v>
              </c:pt>
              <c:pt idx="2">
                <c:v>1.111111111111111E-2</c:v>
              </c:pt>
              <c:pt idx="3">
                <c:v>1.2222222222222219E-2</c:v>
              </c:pt>
              <c:pt idx="4">
                <c:v>1.111111111111111E-2</c:v>
              </c:pt>
              <c:pt idx="5">
                <c:v>1.2222222222222219E-2</c:v>
              </c:pt>
              <c:pt idx="6">
                <c:v>1.111111111111111E-2</c:v>
              </c:pt>
              <c:pt idx="7">
                <c:v>1.2222222222222219E-2</c:v>
              </c:pt>
              <c:pt idx="8">
                <c:v>1.2222222222222219E-2</c:v>
              </c:pt>
              <c:pt idx="9">
                <c:v>1.2222222222222219E-2</c:v>
              </c:pt>
              <c:pt idx="10">
                <c:v>1.2222222222222219E-2</c:v>
              </c:pt>
              <c:pt idx="11">
                <c:v>1.2222222222222219E-2</c:v>
              </c:pt>
              <c:pt idx="12">
                <c:v>1.2222222222222219E-2</c:v>
              </c:pt>
              <c:pt idx="13">
                <c:v>1.2222222222222219E-2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20F-45EC-B2DC-70FAF2A61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451871"/>
        <c:axId val="1584457631"/>
      </c:scatterChart>
      <c:valAx>
        <c:axId val="1584451871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84457631"/>
        <c:crosses val="autoZero"/>
        <c:crossBetween val="midCat"/>
      </c:valAx>
      <c:valAx>
        <c:axId val="1584457631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58445187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OutboundTrainPreparation - Duration (hh:mm:ss) vs StartedAt, by length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0.13902173913043478"/>
          <c:w val="0.82680078740157481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112-150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45"/>
              <c:pt idx="0">
                <c:v>45663.231180555558</c:v>
              </c:pt>
              <c:pt idx="1">
                <c:v>45663.23847222222</c:v>
              </c:pt>
              <c:pt idx="2">
                <c:v>45663.637407407397</c:v>
              </c:pt>
              <c:pt idx="3">
                <c:v>45664.267893518518</c:v>
              </c:pt>
              <c:pt idx="4">
                <c:v>45664.307893518519</c:v>
              </c:pt>
              <c:pt idx="5">
                <c:v>45664.310671296298</c:v>
              </c:pt>
              <c:pt idx="6">
                <c:v>45664.315694444442</c:v>
              </c:pt>
              <c:pt idx="7">
                <c:v>45664.331793981481</c:v>
              </c:pt>
              <c:pt idx="8">
                <c:v>45664.33185185185</c:v>
              </c:pt>
              <c:pt idx="9">
                <c:v>45664.56045138889</c:v>
              </c:pt>
              <c:pt idx="10">
                <c:v>45665.254490740743</c:v>
              </c:pt>
              <c:pt idx="11">
                <c:v>45665.25545138889</c:v>
              </c:pt>
              <c:pt idx="12">
                <c:v>45665.61210648148</c:v>
              </c:pt>
              <c:pt idx="13">
                <c:v>45665.615358796298</c:v>
              </c:pt>
              <c:pt idx="14">
                <c:v>45665.767893518518</c:v>
              </c:pt>
              <c:pt idx="15">
                <c:v>45666.27175925926</c:v>
              </c:pt>
              <c:pt idx="16">
                <c:v>45666.298495370371</c:v>
              </c:pt>
              <c:pt idx="17">
                <c:v>45666.477060185192</c:v>
              </c:pt>
              <c:pt idx="18">
                <c:v>45666.577708333331</c:v>
              </c:pt>
              <c:pt idx="19">
                <c:v>45666.604444444441</c:v>
              </c:pt>
              <c:pt idx="20">
                <c:v>45666.616261574083</c:v>
              </c:pt>
              <c:pt idx="21">
                <c:v>45666.621469907397</c:v>
              </c:pt>
              <c:pt idx="22">
                <c:v>45666.625625000001</c:v>
              </c:pt>
              <c:pt idx="23">
                <c:v>45666.816643518519</c:v>
              </c:pt>
              <c:pt idx="24">
                <c:v>45667.338460648149</c:v>
              </c:pt>
              <c:pt idx="25">
                <c:v>45667.400069444448</c:v>
              </c:pt>
              <c:pt idx="26">
                <c:v>45667.568067129629</c:v>
              </c:pt>
              <c:pt idx="27">
                <c:v>45667.570462962962</c:v>
              </c:pt>
              <c:pt idx="28">
                <c:v>45667.591990740737</c:v>
              </c:pt>
              <c:pt idx="29">
                <c:v>45667.646562499998</c:v>
              </c:pt>
              <c:pt idx="30">
                <c:v>45667.65347222222</c:v>
              </c:pt>
              <c:pt idx="31">
                <c:v>45668.273414351846</c:v>
              </c:pt>
              <c:pt idx="32">
                <c:v>45668.277800925927</c:v>
              </c:pt>
              <c:pt idx="33">
                <c:v>45668.326319444437</c:v>
              </c:pt>
              <c:pt idx="34">
                <c:v>45668.516018518523</c:v>
              </c:pt>
              <c:pt idx="35">
                <c:v>45668.544629629629</c:v>
              </c:pt>
              <c:pt idx="36">
                <c:v>45668.575925925928</c:v>
              </c:pt>
              <c:pt idx="37">
                <c:v>45668.901041666657</c:v>
              </c:pt>
              <c:pt idx="38">
                <c:v>45668.998078703713</c:v>
              </c:pt>
              <c:pt idx="39">
                <c:v>45669.359444444453</c:v>
              </c:pt>
              <c:pt idx="40">
                <c:v>45669.418206018519</c:v>
              </c:pt>
              <c:pt idx="41">
                <c:v>45669.44568287037</c:v>
              </c:pt>
              <c:pt idx="42">
                <c:v>45669.483391203707</c:v>
              </c:pt>
              <c:pt idx="43">
                <c:v>45669.51462962963</c:v>
              </c:pt>
              <c:pt idx="44">
                <c:v>45669.686840277784</c:v>
              </c:pt>
            </c:numLit>
          </c:xVal>
          <c:yVal>
            <c:numLit>
              <c:formatCode>General</c:formatCode>
              <c:ptCount val="45"/>
              <c:pt idx="0">
                <c:v>1.9444444444444441E-2</c:v>
              </c:pt>
              <c:pt idx="1">
                <c:v>1.9444444444444441E-2</c:v>
              </c:pt>
              <c:pt idx="2">
                <c:v>2.222222222222222E-2</c:v>
              </c:pt>
              <c:pt idx="3">
                <c:v>2.5000000000000001E-2</c:v>
              </c:pt>
              <c:pt idx="4">
                <c:v>2.222222222222222E-2</c:v>
              </c:pt>
              <c:pt idx="5">
                <c:v>1.9444444444444441E-2</c:v>
              </c:pt>
              <c:pt idx="6">
                <c:v>2.5000000000000001E-2</c:v>
              </c:pt>
              <c:pt idx="7">
                <c:v>2.5000000000000001E-2</c:v>
              </c:pt>
              <c:pt idx="8">
                <c:v>2.5000000000000001E-2</c:v>
              </c:pt>
              <c:pt idx="9">
                <c:v>2.222222222222222E-2</c:v>
              </c:pt>
              <c:pt idx="10">
                <c:v>2.222222222222222E-2</c:v>
              </c:pt>
              <c:pt idx="11">
                <c:v>2.222222222222222E-2</c:v>
              </c:pt>
              <c:pt idx="12">
                <c:v>2.222222222222222E-2</c:v>
              </c:pt>
              <c:pt idx="13">
                <c:v>2.5000000000000001E-2</c:v>
              </c:pt>
              <c:pt idx="14">
                <c:v>1.9444444444444441E-2</c:v>
              </c:pt>
              <c:pt idx="15">
                <c:v>2.5000000000000001E-2</c:v>
              </c:pt>
              <c:pt idx="16">
                <c:v>2.222222222222222E-2</c:v>
              </c:pt>
              <c:pt idx="17">
                <c:v>2.222222222222222E-2</c:v>
              </c:pt>
              <c:pt idx="18">
                <c:v>2.5000000000000001E-2</c:v>
              </c:pt>
              <c:pt idx="19">
                <c:v>1.9444444444444441E-2</c:v>
              </c:pt>
              <c:pt idx="20">
                <c:v>2.5000000000000001E-2</c:v>
              </c:pt>
              <c:pt idx="21">
                <c:v>1.9444444444444441E-2</c:v>
              </c:pt>
              <c:pt idx="22">
                <c:v>2.222222222222222E-2</c:v>
              </c:pt>
              <c:pt idx="23">
                <c:v>2.5000000000000001E-2</c:v>
              </c:pt>
              <c:pt idx="24">
                <c:v>2.222222222222222E-2</c:v>
              </c:pt>
              <c:pt idx="25">
                <c:v>2.5000000000000001E-2</c:v>
              </c:pt>
              <c:pt idx="26">
                <c:v>2.222222222222222E-2</c:v>
              </c:pt>
              <c:pt idx="27">
                <c:v>2.222222222222222E-2</c:v>
              </c:pt>
              <c:pt idx="28">
                <c:v>2.222222222222222E-2</c:v>
              </c:pt>
              <c:pt idx="29">
                <c:v>2.222222222222222E-2</c:v>
              </c:pt>
              <c:pt idx="30">
                <c:v>2.222222222222222E-2</c:v>
              </c:pt>
              <c:pt idx="31">
                <c:v>2.5000000000000001E-2</c:v>
              </c:pt>
              <c:pt idx="32">
                <c:v>1.9444444444444441E-2</c:v>
              </c:pt>
              <c:pt idx="33">
                <c:v>2.222222222222222E-2</c:v>
              </c:pt>
              <c:pt idx="34">
                <c:v>2.222222222222222E-2</c:v>
              </c:pt>
              <c:pt idx="35">
                <c:v>2.5000000000000001E-2</c:v>
              </c:pt>
              <c:pt idx="36">
                <c:v>1.9444444444444441E-2</c:v>
              </c:pt>
              <c:pt idx="37">
                <c:v>1.9444444444444441E-2</c:v>
              </c:pt>
              <c:pt idx="38">
                <c:v>2.222222222222222E-2</c:v>
              </c:pt>
              <c:pt idx="39">
                <c:v>2.5000000000000001E-2</c:v>
              </c:pt>
              <c:pt idx="40">
                <c:v>2.222222222222222E-2</c:v>
              </c:pt>
              <c:pt idx="41">
                <c:v>2.222222222222222E-2</c:v>
              </c:pt>
              <c:pt idx="42">
                <c:v>2.5000000000000001E-2</c:v>
              </c:pt>
              <c:pt idx="43">
                <c:v>2.5000000000000001E-2</c:v>
              </c:pt>
              <c:pt idx="44">
                <c:v>1.9444444444444441E-2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8BB-4A39-944A-9C1A79139D8B}"/>
            </c:ext>
          </c:extLst>
        </c:ser>
        <c:ser>
          <c:idx val="1"/>
          <c:order val="1"/>
          <c:tx>
            <c:v>150-189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21"/>
              <c:pt idx="0">
                <c:v>45663.335185185177</c:v>
              </c:pt>
              <c:pt idx="1">
                <c:v>45663.637638888889</c:v>
              </c:pt>
              <c:pt idx="2">
                <c:v>45664.705243055563</c:v>
              </c:pt>
              <c:pt idx="3">
                <c:v>45665.394733796304</c:v>
              </c:pt>
              <c:pt idx="4">
                <c:v>45665.429837962962</c:v>
              </c:pt>
              <c:pt idx="5">
                <c:v>45665.44798611111</c:v>
              </c:pt>
              <c:pt idx="6">
                <c:v>45666.23946759259</c:v>
              </c:pt>
              <c:pt idx="7">
                <c:v>45666.318356481483</c:v>
              </c:pt>
              <c:pt idx="8">
                <c:v>45666.572187500002</c:v>
              </c:pt>
              <c:pt idx="9">
                <c:v>45666.824421296304</c:v>
              </c:pt>
              <c:pt idx="10">
                <c:v>45667.575150462973</c:v>
              </c:pt>
              <c:pt idx="11">
                <c:v>45667.594421296293</c:v>
              </c:pt>
              <c:pt idx="12">
                <c:v>45667.677812499998</c:v>
              </c:pt>
              <c:pt idx="13">
                <c:v>45667.704270833332</c:v>
              </c:pt>
              <c:pt idx="14">
                <c:v>45667.706412037027</c:v>
              </c:pt>
              <c:pt idx="15">
                <c:v>45668.296203703707</c:v>
              </c:pt>
              <c:pt idx="16">
                <c:v>45668.308159722219</c:v>
              </c:pt>
              <c:pt idx="17">
                <c:v>45668.535590277781</c:v>
              </c:pt>
              <c:pt idx="18">
                <c:v>45668.546469907407</c:v>
              </c:pt>
              <c:pt idx="19">
                <c:v>45668.585266203707</c:v>
              </c:pt>
              <c:pt idx="20">
                <c:v>45669.360162037039</c:v>
              </c:pt>
            </c:numLit>
          </c:xVal>
          <c:yVal>
            <c:numLit>
              <c:formatCode>General</c:formatCode>
              <c:ptCount val="21"/>
              <c:pt idx="0">
                <c:v>2.777777777777778E-2</c:v>
              </c:pt>
              <c:pt idx="1">
                <c:v>3.0555555555555551E-2</c:v>
              </c:pt>
              <c:pt idx="2">
                <c:v>3.0555555555555551E-2</c:v>
              </c:pt>
              <c:pt idx="3">
                <c:v>3.0555555555555551E-2</c:v>
              </c:pt>
              <c:pt idx="4">
                <c:v>2.777777777777778E-2</c:v>
              </c:pt>
              <c:pt idx="5">
                <c:v>2.777777777777778E-2</c:v>
              </c:pt>
              <c:pt idx="6">
                <c:v>3.0555555555555551E-2</c:v>
              </c:pt>
              <c:pt idx="7">
                <c:v>2.777777777777778E-2</c:v>
              </c:pt>
              <c:pt idx="8">
                <c:v>3.0555555555555551E-2</c:v>
              </c:pt>
              <c:pt idx="9">
                <c:v>3.0555555555555551E-2</c:v>
              </c:pt>
              <c:pt idx="10">
                <c:v>3.0555555555555551E-2</c:v>
              </c:pt>
              <c:pt idx="11">
                <c:v>3.0555555555555551E-2</c:v>
              </c:pt>
              <c:pt idx="12">
                <c:v>2.777777777777778E-2</c:v>
              </c:pt>
              <c:pt idx="13">
                <c:v>2.777777777777778E-2</c:v>
              </c:pt>
              <c:pt idx="14">
                <c:v>3.0555555555555551E-2</c:v>
              </c:pt>
              <c:pt idx="15">
                <c:v>3.0555555555555551E-2</c:v>
              </c:pt>
              <c:pt idx="16">
                <c:v>3.0555555555555551E-2</c:v>
              </c:pt>
              <c:pt idx="17">
                <c:v>2.777777777777778E-2</c:v>
              </c:pt>
              <c:pt idx="18">
                <c:v>2.777777777777778E-2</c:v>
              </c:pt>
              <c:pt idx="19">
                <c:v>3.0555555555555551E-2</c:v>
              </c:pt>
              <c:pt idx="20">
                <c:v>2.777777777777778E-2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8BB-4A39-944A-9C1A79139D8B}"/>
            </c:ext>
          </c:extLst>
        </c:ser>
        <c:ser>
          <c:idx val="2"/>
          <c:order val="2"/>
          <c:tx>
            <c:v>189-227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7"/>
              <c:pt idx="0">
                <c:v>45664.272824074083</c:v>
              </c:pt>
              <c:pt idx="1">
                <c:v>45665.456053240741</c:v>
              </c:pt>
              <c:pt idx="2">
                <c:v>45666.277777777781</c:v>
              </c:pt>
              <c:pt idx="3">
                <c:v>45666.485405092593</c:v>
              </c:pt>
              <c:pt idx="4">
                <c:v>45666.56622685185</c:v>
              </c:pt>
              <c:pt idx="5">
                <c:v>45666.958321759259</c:v>
              </c:pt>
              <c:pt idx="6">
                <c:v>45669.81459490741</c:v>
              </c:pt>
            </c:numLit>
          </c:xVal>
          <c:yVal>
            <c:numLit>
              <c:formatCode>General</c:formatCode>
              <c:ptCount val="7"/>
              <c:pt idx="0">
                <c:v>3.3333333333333333E-2</c:v>
              </c:pt>
              <c:pt idx="1">
                <c:v>3.6111111111111108E-2</c:v>
              </c:pt>
              <c:pt idx="2">
                <c:v>3.888888888888889E-2</c:v>
              </c:pt>
              <c:pt idx="3">
                <c:v>3.6111111111111108E-2</c:v>
              </c:pt>
              <c:pt idx="4">
                <c:v>3.6111111111111108E-2</c:v>
              </c:pt>
              <c:pt idx="5">
                <c:v>3.3333333333333333E-2</c:v>
              </c:pt>
              <c:pt idx="6">
                <c:v>3.3333333333333333E-2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8BB-4A39-944A-9C1A79139D8B}"/>
            </c:ext>
          </c:extLst>
        </c:ser>
        <c:ser>
          <c:idx val="3"/>
          <c:order val="3"/>
          <c:tx>
            <c:v>227-266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45665.404583333337</c:v>
              </c:pt>
              <c:pt idx="1">
                <c:v>45665.920763888891</c:v>
              </c:pt>
              <c:pt idx="2">
                <c:v>45666.282106481478</c:v>
              </c:pt>
              <c:pt idx="3">
                <c:v>45668.903275462973</c:v>
              </c:pt>
            </c:numLit>
          </c:xVal>
          <c:yVal>
            <c:numLit>
              <c:formatCode>General</c:formatCode>
              <c:ptCount val="4"/>
              <c:pt idx="0">
                <c:v>4.1666666666666657E-2</c:v>
              </c:pt>
              <c:pt idx="1">
                <c:v>4.4444444444444453E-2</c:v>
              </c:pt>
              <c:pt idx="2">
                <c:v>4.1666666666666657E-2</c:v>
              </c:pt>
              <c:pt idx="3">
                <c:v>4.4444444444444453E-2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8BB-4A39-944A-9C1A79139D8B}"/>
            </c:ext>
          </c:extLst>
        </c:ser>
        <c:ser>
          <c:idx val="4"/>
          <c:order val="4"/>
          <c:tx>
            <c:v>266-304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45669.942233796297</c:v>
              </c:pt>
            </c:numLit>
          </c:xVal>
          <c:yVal>
            <c:numLit>
              <c:formatCode>General</c:formatCode>
              <c:ptCount val="1"/>
              <c:pt idx="0">
                <c:v>5.2777777777777778E-2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8BB-4A39-944A-9C1A79139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450911"/>
        <c:axId val="1584451871"/>
      </c:scatterChart>
      <c:valAx>
        <c:axId val="1584450911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84451871"/>
        <c:crosses val="autoZero"/>
        <c:crossBetween val="midCat"/>
      </c:valAx>
      <c:valAx>
        <c:axId val="1584451871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58445091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DepartureDrive - Duration (hh:mm:ss) vs StartedAt, by track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3402559055118108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Track 605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9"/>
              <c:pt idx="0">
                <c:v>45663.659629629627</c:v>
              </c:pt>
              <c:pt idx="1">
                <c:v>45664.340694444443</c:v>
              </c:pt>
              <c:pt idx="2">
                <c:v>45665.446250000001</c:v>
              </c:pt>
              <c:pt idx="3">
                <c:v>45666.316666666673</c:v>
              </c:pt>
              <c:pt idx="4">
                <c:v>45666.991655092592</c:v>
              </c:pt>
              <c:pt idx="5">
                <c:v>45667.624976851846</c:v>
              </c:pt>
              <c:pt idx="6">
                <c:v>45667.705590277779</c:v>
              </c:pt>
              <c:pt idx="7">
                <c:v>45668.563368055547</c:v>
              </c:pt>
              <c:pt idx="8">
                <c:v>45669.508391203701</c:v>
              </c:pt>
            </c:numLit>
          </c:xVal>
          <c:yVal>
            <c:numLit>
              <c:formatCode>General</c:formatCode>
              <c:ptCount val="9"/>
              <c:pt idx="0">
                <c:v>8.9120370370370373E-4</c:v>
              </c:pt>
              <c:pt idx="1">
                <c:v>9.3749999999999997E-4</c:v>
              </c:pt>
              <c:pt idx="2">
                <c:v>1.1458333333333329E-3</c:v>
              </c:pt>
              <c:pt idx="3">
                <c:v>1.1111111111111109E-3</c:v>
              </c:pt>
              <c:pt idx="4">
                <c:v>1.0416666666666671E-3</c:v>
              </c:pt>
              <c:pt idx="5">
                <c:v>9.9537037037037042E-4</c:v>
              </c:pt>
              <c:pt idx="6">
                <c:v>9.6064814814814819E-4</c:v>
              </c:pt>
              <c:pt idx="7">
                <c:v>9.6064814814814819E-4</c:v>
              </c:pt>
              <c:pt idx="8">
                <c:v>9.2592592592592596E-4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B21-4389-8BF5-2703A2414408}"/>
            </c:ext>
          </c:extLst>
        </c:ser>
        <c:ser>
          <c:idx val="1"/>
          <c:order val="1"/>
          <c:tx>
            <c:v>Track 606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45664.735798611109</c:v>
              </c:pt>
              <c:pt idx="1">
                <c:v>45665.634328703702</c:v>
              </c:pt>
              <c:pt idx="2">
                <c:v>45667.732048611113</c:v>
              </c:pt>
              <c:pt idx="3">
                <c:v>45668.94771990741</c:v>
              </c:pt>
            </c:numLit>
          </c:xVal>
          <c:yVal>
            <c:numLit>
              <c:formatCode>General</c:formatCode>
              <c:ptCount val="4"/>
              <c:pt idx="0">
                <c:v>9.1435185185185185E-4</c:v>
              </c:pt>
              <c:pt idx="1">
                <c:v>8.1018518518518516E-4</c:v>
              </c:pt>
              <c:pt idx="2">
                <c:v>8.7962962962962962E-4</c:v>
              </c:pt>
              <c:pt idx="3">
                <c:v>1.0995370370370371E-3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B21-4389-8BF5-2703A2414408}"/>
            </c:ext>
          </c:extLst>
        </c:ser>
        <c:ser>
          <c:idx val="2"/>
          <c:order val="2"/>
          <c:tx>
            <c:v>Track 607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5"/>
              <c:pt idx="0">
                <c:v>45666.320717592593</c:v>
              </c:pt>
              <c:pt idx="1">
                <c:v>45666.640914351847</c:v>
              </c:pt>
              <c:pt idx="2">
                <c:v>45667.736967592587</c:v>
              </c:pt>
              <c:pt idx="3">
                <c:v>45668.32675925926</c:v>
              </c:pt>
              <c:pt idx="4">
                <c:v>45669.467905092592</c:v>
              </c:pt>
            </c:numLit>
          </c:xVal>
          <c:yVal>
            <c:numLit>
              <c:formatCode>General</c:formatCode>
              <c:ptCount val="5"/>
              <c:pt idx="0">
                <c:v>8.9120370370370373E-4</c:v>
              </c:pt>
              <c:pt idx="1">
                <c:v>8.4490740740740739E-4</c:v>
              </c:pt>
              <c:pt idx="2">
                <c:v>9.9537037037037042E-4</c:v>
              </c:pt>
              <c:pt idx="3">
                <c:v>1.006944444444444E-3</c:v>
              </c:pt>
              <c:pt idx="4">
                <c:v>8.9120370370370373E-4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B21-4389-8BF5-2703A2414408}"/>
            </c:ext>
          </c:extLst>
        </c:ser>
        <c:ser>
          <c:idx val="3"/>
          <c:order val="3"/>
          <c:tx>
            <c:v>Track 609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45666.647847222222</c:v>
              </c:pt>
              <c:pt idx="1">
                <c:v>45669.440428240741</c:v>
              </c:pt>
            </c:numLit>
          </c:xVal>
          <c:yVal>
            <c:numLit>
              <c:formatCode>General</c:formatCode>
              <c:ptCount val="2"/>
              <c:pt idx="0">
                <c:v>8.3333333333333339E-4</c:v>
              </c:pt>
              <c:pt idx="1">
                <c:v>8.4490740740740739E-4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B21-4389-8BF5-2703A2414408}"/>
            </c:ext>
          </c:extLst>
        </c:ser>
        <c:ser>
          <c:idx val="4"/>
          <c:order val="4"/>
          <c:tx>
            <c:v>Track 613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45664.292893518519</c:v>
              </c:pt>
              <c:pt idx="1">
                <c:v>45665.277673611112</c:v>
              </c:pt>
              <c:pt idx="2">
                <c:v>45665.492164351846</c:v>
              </c:pt>
              <c:pt idx="3">
                <c:v>45666.323773148149</c:v>
              </c:pt>
              <c:pt idx="4">
                <c:v>45666.623888888891</c:v>
              </c:pt>
              <c:pt idx="5">
                <c:v>45666.85497685185</c:v>
              </c:pt>
              <c:pt idx="6">
                <c:v>45667.66878472222</c:v>
              </c:pt>
              <c:pt idx="7">
                <c:v>45668.538240740738</c:v>
              </c:pt>
              <c:pt idx="8">
                <c:v>45668.920486111107</c:v>
              </c:pt>
              <c:pt idx="9">
                <c:v>45669.020300925928</c:v>
              </c:pt>
            </c:numLit>
          </c:xVal>
          <c:yVal>
            <c:numLit>
              <c:formatCode>General</c:formatCode>
              <c:ptCount val="10"/>
              <c:pt idx="0">
                <c:v>7.6388888888888893E-4</c:v>
              </c:pt>
              <c:pt idx="1">
                <c:v>7.291666666666667E-4</c:v>
              </c:pt>
              <c:pt idx="2">
                <c:v>9.0277777777777774E-4</c:v>
              </c:pt>
              <c:pt idx="3">
                <c:v>9.9537037037037042E-4</c:v>
              </c:pt>
              <c:pt idx="4">
                <c:v>6.9444444444444447E-4</c:v>
              </c:pt>
              <c:pt idx="5">
                <c:v>8.4490740740740739E-4</c:v>
              </c:pt>
              <c:pt idx="6">
                <c:v>7.291666666666667E-4</c:v>
              </c:pt>
              <c:pt idx="7">
                <c:v>7.1759259259259259E-4</c:v>
              </c:pt>
              <c:pt idx="8">
                <c:v>6.8287037037037036E-4</c:v>
              </c:pt>
              <c:pt idx="9">
                <c:v>7.291666666666667E-4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B21-4389-8BF5-2703A2414408}"/>
            </c:ext>
          </c:extLst>
        </c:ser>
        <c:ser>
          <c:idx val="5"/>
          <c:order val="5"/>
          <c:tx>
            <c:v>Track 615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C564B"/>
              </a:solidFill>
              <a:ln>
                <a:solidFill>
                  <a:srgbClr val="8C564B"/>
                </a:solidFill>
                <a:prstDash val="solid"/>
              </a:ln>
            </c:spPr>
          </c:marker>
          <c:xVal>
            <c:numLit>
              <c:formatCode>General</c:formatCode>
              <c:ptCount val="18"/>
              <c:pt idx="0">
                <c:v>45663.250625000001</c:v>
              </c:pt>
              <c:pt idx="1">
                <c:v>45663.362962962958</c:v>
              </c:pt>
              <c:pt idx="2">
                <c:v>45663.668194444443</c:v>
              </c:pt>
              <c:pt idx="3">
                <c:v>45664.33011574074</c:v>
              </c:pt>
              <c:pt idx="4">
                <c:v>45664.582673611112</c:v>
              </c:pt>
              <c:pt idx="5">
                <c:v>45665.276712962957</c:v>
              </c:pt>
              <c:pt idx="6">
                <c:v>45665.6403587963</c:v>
              </c:pt>
              <c:pt idx="7">
                <c:v>45665.78733796296</c:v>
              </c:pt>
              <c:pt idx="8">
                <c:v>45665.965208333328</c:v>
              </c:pt>
              <c:pt idx="9">
                <c:v>45666.296759259261</c:v>
              </c:pt>
              <c:pt idx="10">
                <c:v>45666.521516203713</c:v>
              </c:pt>
              <c:pt idx="11">
                <c:v>45666.604201388887</c:v>
              </c:pt>
              <c:pt idx="12">
                <c:v>45666.841643518521</c:v>
              </c:pt>
              <c:pt idx="13">
                <c:v>45667.425069444442</c:v>
              </c:pt>
              <c:pt idx="14">
                <c:v>45667.590289351851</c:v>
              </c:pt>
              <c:pt idx="15">
                <c:v>45668.29724537037</c:v>
              </c:pt>
              <c:pt idx="16">
                <c:v>45668.574247685188</c:v>
              </c:pt>
              <c:pt idx="17">
                <c:v>45669.384444444448</c:v>
              </c:pt>
            </c:numLit>
          </c:xVal>
          <c:yVal>
            <c:numLit>
              <c:formatCode>General</c:formatCode>
              <c:ptCount val="18"/>
              <c:pt idx="0">
                <c:v>7.1759259259259259E-4</c:v>
              </c:pt>
              <c:pt idx="1">
                <c:v>8.3333333333333339E-4</c:v>
              </c:pt>
              <c:pt idx="2">
                <c:v>8.7962962962962962E-4</c:v>
              </c:pt>
              <c:pt idx="3">
                <c:v>7.5231481481481482E-4</c:v>
              </c:pt>
              <c:pt idx="4">
                <c:v>7.6388888888888893E-4</c:v>
              </c:pt>
              <c:pt idx="5">
                <c:v>7.6388888888888893E-4</c:v>
              </c:pt>
              <c:pt idx="6">
                <c:v>8.1018518518518516E-4</c:v>
              </c:pt>
              <c:pt idx="7">
                <c:v>7.291666666666667E-4</c:v>
              </c:pt>
              <c:pt idx="8">
                <c:v>1.0532407407407411E-3</c:v>
              </c:pt>
              <c:pt idx="9">
                <c:v>7.9861111111111116E-4</c:v>
              </c:pt>
              <c:pt idx="10">
                <c:v>9.4907407407407408E-4</c:v>
              </c:pt>
              <c:pt idx="11">
                <c:v>8.7962962962962962E-4</c:v>
              </c:pt>
              <c:pt idx="12">
                <c:v>7.9861111111111116E-4</c:v>
              </c:pt>
              <c:pt idx="13">
                <c:v>7.9861111111111116E-4</c:v>
              </c:pt>
              <c:pt idx="14">
                <c:v>7.6388888888888893E-4</c:v>
              </c:pt>
              <c:pt idx="15">
                <c:v>7.1759259259259259E-4</c:v>
              </c:pt>
              <c:pt idx="16">
                <c:v>8.4490740740740739E-4</c:v>
              </c:pt>
              <c:pt idx="17">
                <c:v>7.9861111111111116E-4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DB21-4389-8BF5-2703A2414408}"/>
            </c:ext>
          </c:extLst>
        </c:ser>
        <c:ser>
          <c:idx val="6"/>
          <c:order val="6"/>
          <c:tx>
            <c:v>Track 619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E377C2"/>
              </a:solidFill>
              <a:ln>
                <a:solidFill>
                  <a:srgbClr val="E377C2"/>
                </a:solidFill>
                <a:prstDash val="solid"/>
              </a:ln>
            </c:spPr>
          </c:marker>
          <c:xVal>
            <c:numLit>
              <c:formatCode>General</c:formatCode>
              <c:ptCount val="7"/>
              <c:pt idx="0">
                <c:v>45664.356793981482</c:v>
              </c:pt>
              <c:pt idx="1">
                <c:v>45665.475763888891</c:v>
              </c:pt>
              <c:pt idx="2">
                <c:v>45666.603321759263</c:v>
              </c:pt>
              <c:pt idx="3">
                <c:v>45667.614212962973</c:v>
              </c:pt>
              <c:pt idx="4">
                <c:v>45668.298414351862</c:v>
              </c:pt>
              <c:pt idx="5">
                <c:v>45668.61582175926</c:v>
              </c:pt>
              <c:pt idx="6">
                <c:v>45669.706284722219</c:v>
              </c:pt>
            </c:numLit>
          </c:xVal>
          <c:yVal>
            <c:numLit>
              <c:formatCode>General</c:formatCode>
              <c:ptCount val="7"/>
              <c:pt idx="0">
                <c:v>8.7962962962962962E-4</c:v>
              </c:pt>
              <c:pt idx="1">
                <c:v>9.1435185185185185E-4</c:v>
              </c:pt>
              <c:pt idx="2">
                <c:v>8.7962962962962962E-4</c:v>
              </c:pt>
              <c:pt idx="3">
                <c:v>8.4490740740740739E-4</c:v>
              </c:pt>
              <c:pt idx="4">
                <c:v>8.7962962962962962E-4</c:v>
              </c:pt>
              <c:pt idx="5">
                <c:v>9.4907407407407408E-4</c:v>
              </c:pt>
              <c:pt idx="6">
                <c:v>7.9861111111111116E-4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DB21-4389-8BF5-2703A2414408}"/>
            </c:ext>
          </c:extLst>
        </c:ser>
        <c:ser>
          <c:idx val="7"/>
          <c:order val="7"/>
          <c:tx>
            <c:v>Track 623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7F7F7F"/>
              </a:solidFill>
              <a:ln>
                <a:solidFill>
                  <a:srgbClr val="7F7F7F"/>
                </a:solidFill>
                <a:prstDash val="solid"/>
              </a:ln>
            </c:spPr>
          </c:marker>
          <c:xVal>
            <c:numLit>
              <c:formatCode>General</c:formatCode>
              <c:ptCount val="7"/>
              <c:pt idx="0">
                <c:v>45664.357673611114</c:v>
              </c:pt>
              <c:pt idx="1">
                <c:v>45665.457615740743</c:v>
              </c:pt>
              <c:pt idx="2">
                <c:v>45666.346134259264</c:v>
              </c:pt>
              <c:pt idx="3">
                <c:v>45666.641759259262</c:v>
              </c:pt>
              <c:pt idx="4">
                <c:v>45667.592685185176</c:v>
              </c:pt>
              <c:pt idx="5">
                <c:v>45668.33871527778</c:v>
              </c:pt>
              <c:pt idx="6">
                <c:v>45669.387939814813</c:v>
              </c:pt>
            </c:numLit>
          </c:xVal>
          <c:yVal>
            <c:numLit>
              <c:formatCode>General</c:formatCode>
              <c:ptCount val="7"/>
              <c:pt idx="0">
                <c:v>8.6805555555555551E-4</c:v>
              </c:pt>
              <c:pt idx="1">
                <c:v>9.1435185185185185E-4</c:v>
              </c:pt>
              <c:pt idx="2">
                <c:v>9.1435185185185185E-4</c:v>
              </c:pt>
              <c:pt idx="3">
                <c:v>8.7962962962962962E-4</c:v>
              </c:pt>
              <c:pt idx="4">
                <c:v>8.3333333333333339E-4</c:v>
              </c:pt>
              <c:pt idx="5">
                <c:v>9.3749999999999997E-4</c:v>
              </c:pt>
              <c:pt idx="6">
                <c:v>9.0277777777777774E-4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DB21-4389-8BF5-2703A2414408}"/>
            </c:ext>
          </c:extLst>
        </c:ser>
        <c:ser>
          <c:idx val="8"/>
          <c:order val="8"/>
          <c:tx>
            <c:v>Track 625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BCBD22"/>
              </a:solidFill>
              <a:ln>
                <a:solidFill>
                  <a:srgbClr val="BCBD22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45664.306157407409</c:v>
              </c:pt>
              <c:pt idx="1">
                <c:v>45665.42528935185</c:v>
              </c:pt>
              <c:pt idx="2">
                <c:v>45666.27002314815</c:v>
              </c:pt>
              <c:pt idx="3">
                <c:v>45666.499282407407</c:v>
              </c:pt>
              <c:pt idx="4">
                <c:v>45666.602337962962</c:v>
              </c:pt>
              <c:pt idx="5">
                <c:v>45667.605706018519</c:v>
              </c:pt>
              <c:pt idx="6">
                <c:v>45667.675694444442</c:v>
              </c:pt>
              <c:pt idx="7">
                <c:v>45668.348541666674</c:v>
              </c:pt>
              <c:pt idx="8">
                <c:v>45668.595370370371</c:v>
              </c:pt>
              <c:pt idx="9">
                <c:v>45669.847928240742</c:v>
              </c:pt>
            </c:numLit>
          </c:xVal>
          <c:yVal>
            <c:numLit>
              <c:formatCode>General</c:formatCode>
              <c:ptCount val="10"/>
              <c:pt idx="0">
                <c:v>9.3749999999999997E-4</c:v>
              </c:pt>
              <c:pt idx="1">
                <c:v>9.1435185185185185E-4</c:v>
              </c:pt>
              <c:pt idx="2">
                <c:v>9.0277777777777774E-4</c:v>
              </c:pt>
              <c:pt idx="3">
                <c:v>7.9861111111111116E-4</c:v>
              </c:pt>
              <c:pt idx="4">
                <c:v>9.837962962962962E-4</c:v>
              </c:pt>
              <c:pt idx="5">
                <c:v>9.0277777777777774E-4</c:v>
              </c:pt>
              <c:pt idx="6">
                <c:v>7.9861111111111116E-4</c:v>
              </c:pt>
              <c:pt idx="7">
                <c:v>7.9861111111111116E-4</c:v>
              </c:pt>
              <c:pt idx="8">
                <c:v>7.6388888888888893E-4</c:v>
              </c:pt>
              <c:pt idx="9">
                <c:v>9.4907407407407408E-4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DB21-4389-8BF5-2703A2414408}"/>
            </c:ext>
          </c:extLst>
        </c:ser>
        <c:ser>
          <c:idx val="9"/>
          <c:order val="9"/>
          <c:tx>
            <c:v>Track 627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7BECF"/>
              </a:solidFill>
              <a:ln>
                <a:solidFill>
                  <a:srgbClr val="17BECF"/>
                </a:solidFill>
                <a:prstDash val="solid"/>
              </a:ln>
            </c:spPr>
          </c:marker>
          <c:xVal>
            <c:numLit>
              <c:formatCode>General</c:formatCode>
              <c:ptCount val="6"/>
              <c:pt idx="0">
                <c:v>45663.257916666669</c:v>
              </c:pt>
              <c:pt idx="1">
                <c:v>45664.330868055556</c:v>
              </c:pt>
              <c:pt idx="2">
                <c:v>45667.360682870371</c:v>
              </c:pt>
              <c:pt idx="3">
                <c:v>45668.56962962963</c:v>
              </c:pt>
              <c:pt idx="4">
                <c:v>45669.539629629631</c:v>
              </c:pt>
              <c:pt idx="5">
                <c:v>45669.995011574072</c:v>
              </c:pt>
            </c:numLit>
          </c:xVal>
          <c:yVal>
            <c:numLit>
              <c:formatCode>General</c:formatCode>
              <c:ptCount val="6"/>
              <c:pt idx="0">
                <c:v>6.5972222222222224E-4</c:v>
              </c:pt>
              <c:pt idx="1">
                <c:v>6.5972222222222224E-4</c:v>
              </c:pt>
              <c:pt idx="2">
                <c:v>6.9444444444444447E-4</c:v>
              </c:pt>
              <c:pt idx="3">
                <c:v>7.291666666666667E-4</c:v>
              </c:pt>
              <c:pt idx="4">
                <c:v>7.291666666666667E-4</c:v>
              </c:pt>
              <c:pt idx="5">
                <c:v>1.0995370370370371E-3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DB21-4389-8BF5-2703A2414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459551"/>
        <c:axId val="1584460511"/>
      </c:scatterChart>
      <c:valAx>
        <c:axId val="1584459551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84460511"/>
        <c:crosses val="autoZero"/>
        <c:crossBetween val="midCat"/>
      </c:valAx>
      <c:valAx>
        <c:axId val="1584460511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58445955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Drive activities: drive length vs duration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ArrivalDrive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2E81E2"/>
              </a:solidFill>
              <a:ln>
                <a:solidFill>
                  <a:srgbClr val="2E81E2"/>
                </a:solidFill>
                <a:prstDash val="solid"/>
              </a:ln>
            </c:spPr>
          </c:marker>
          <c:xVal>
            <c:numLit>
              <c:formatCode>General</c:formatCode>
              <c:ptCount val="77"/>
              <c:pt idx="0">
                <c:v>766.25</c:v>
              </c:pt>
              <c:pt idx="1">
                <c:v>556.20000000000005</c:v>
              </c:pt>
              <c:pt idx="2">
                <c:v>766.25</c:v>
              </c:pt>
              <c:pt idx="3">
                <c:v>766.25</c:v>
              </c:pt>
              <c:pt idx="4">
                <c:v>766.25</c:v>
              </c:pt>
              <c:pt idx="5">
                <c:v>766.25</c:v>
              </c:pt>
              <c:pt idx="6">
                <c:v>556.20000000000005</c:v>
              </c:pt>
              <c:pt idx="7">
                <c:v>766.25</c:v>
              </c:pt>
              <c:pt idx="8">
                <c:v>556.20000000000005</c:v>
              </c:pt>
              <c:pt idx="9">
                <c:v>766.25</c:v>
              </c:pt>
              <c:pt idx="10">
                <c:v>556.20000000000005</c:v>
              </c:pt>
              <c:pt idx="11">
                <c:v>766.25</c:v>
              </c:pt>
              <c:pt idx="12">
                <c:v>766.25</c:v>
              </c:pt>
              <c:pt idx="13">
                <c:v>587.14</c:v>
              </c:pt>
              <c:pt idx="14">
                <c:v>766.25</c:v>
              </c:pt>
              <c:pt idx="15">
                <c:v>587.14</c:v>
              </c:pt>
              <c:pt idx="16">
                <c:v>556.20000000000005</c:v>
              </c:pt>
              <c:pt idx="17">
                <c:v>766.25</c:v>
              </c:pt>
              <c:pt idx="18">
                <c:v>556.20000000000005</c:v>
              </c:pt>
              <c:pt idx="19">
                <c:v>766.25</c:v>
              </c:pt>
              <c:pt idx="20">
                <c:v>556.20000000000005</c:v>
              </c:pt>
              <c:pt idx="21">
                <c:v>766.25</c:v>
              </c:pt>
              <c:pt idx="22">
                <c:v>766.25</c:v>
              </c:pt>
              <c:pt idx="23">
                <c:v>766.25</c:v>
              </c:pt>
              <c:pt idx="24">
                <c:v>766.25</c:v>
              </c:pt>
              <c:pt idx="25">
                <c:v>766.25</c:v>
              </c:pt>
              <c:pt idx="26">
                <c:v>556.20000000000005</c:v>
              </c:pt>
              <c:pt idx="27">
                <c:v>766.25</c:v>
              </c:pt>
              <c:pt idx="28">
                <c:v>556.20000000000005</c:v>
              </c:pt>
              <c:pt idx="29">
                <c:v>476.05</c:v>
              </c:pt>
              <c:pt idx="30">
                <c:v>435.33</c:v>
              </c:pt>
              <c:pt idx="31">
                <c:v>766.25</c:v>
              </c:pt>
              <c:pt idx="32">
                <c:v>556.20000000000005</c:v>
              </c:pt>
              <c:pt idx="33">
                <c:v>766.25</c:v>
              </c:pt>
              <c:pt idx="34">
                <c:v>556.20000000000005</c:v>
              </c:pt>
              <c:pt idx="35">
                <c:v>766.25</c:v>
              </c:pt>
              <c:pt idx="36">
                <c:v>556.20000000000005</c:v>
              </c:pt>
              <c:pt idx="37">
                <c:v>766.25</c:v>
              </c:pt>
              <c:pt idx="38">
                <c:v>766.25</c:v>
              </c:pt>
              <c:pt idx="39">
                <c:v>556.20000000000005</c:v>
              </c:pt>
              <c:pt idx="40">
                <c:v>766.25</c:v>
              </c:pt>
              <c:pt idx="41">
                <c:v>556.20000000000005</c:v>
              </c:pt>
              <c:pt idx="42">
                <c:v>766.25</c:v>
              </c:pt>
              <c:pt idx="43">
                <c:v>766.25</c:v>
              </c:pt>
              <c:pt idx="44">
                <c:v>766.25</c:v>
              </c:pt>
              <c:pt idx="45">
                <c:v>766.25</c:v>
              </c:pt>
              <c:pt idx="46">
                <c:v>766.25</c:v>
              </c:pt>
              <c:pt idx="47">
                <c:v>766.25</c:v>
              </c:pt>
              <c:pt idx="48">
                <c:v>556.20000000000005</c:v>
              </c:pt>
              <c:pt idx="49">
                <c:v>766.25</c:v>
              </c:pt>
              <c:pt idx="50">
                <c:v>766.25</c:v>
              </c:pt>
              <c:pt idx="51">
                <c:v>766.25</c:v>
              </c:pt>
              <c:pt idx="52">
                <c:v>766.25</c:v>
              </c:pt>
              <c:pt idx="53">
                <c:v>766.25</c:v>
              </c:pt>
              <c:pt idx="54">
                <c:v>766.25</c:v>
              </c:pt>
              <c:pt idx="55">
                <c:v>766.25</c:v>
              </c:pt>
              <c:pt idx="56">
                <c:v>766.25</c:v>
              </c:pt>
              <c:pt idx="57">
                <c:v>766.25</c:v>
              </c:pt>
              <c:pt idx="58">
                <c:v>766.25</c:v>
              </c:pt>
              <c:pt idx="59">
                <c:v>766.25</c:v>
              </c:pt>
              <c:pt idx="60">
                <c:v>766.25</c:v>
              </c:pt>
              <c:pt idx="61">
                <c:v>766.25</c:v>
              </c:pt>
              <c:pt idx="62">
                <c:v>556.20000000000005</c:v>
              </c:pt>
              <c:pt idx="63">
                <c:v>766.25</c:v>
              </c:pt>
              <c:pt idx="64">
                <c:v>556.20000000000005</c:v>
              </c:pt>
              <c:pt idx="65">
                <c:v>766.25</c:v>
              </c:pt>
              <c:pt idx="66">
                <c:v>766.25</c:v>
              </c:pt>
              <c:pt idx="67">
                <c:v>766.25</c:v>
              </c:pt>
              <c:pt idx="68">
                <c:v>766.25</c:v>
              </c:pt>
              <c:pt idx="69">
                <c:v>766.25</c:v>
              </c:pt>
              <c:pt idx="70">
                <c:v>766.25</c:v>
              </c:pt>
              <c:pt idx="71">
                <c:v>766.25</c:v>
              </c:pt>
              <c:pt idx="72">
                <c:v>766.25</c:v>
              </c:pt>
              <c:pt idx="73">
                <c:v>766.25</c:v>
              </c:pt>
              <c:pt idx="74">
                <c:v>766.25</c:v>
              </c:pt>
              <c:pt idx="75">
                <c:v>766.25</c:v>
              </c:pt>
              <c:pt idx="76">
                <c:v>766.25</c:v>
              </c:pt>
            </c:numLit>
          </c:xVal>
          <c:yVal>
            <c:numLit>
              <c:formatCode>General</c:formatCode>
              <c:ptCount val="77"/>
              <c:pt idx="0">
                <c:v>2.1064814814814809E-3</c:v>
              </c:pt>
              <c:pt idx="1">
                <c:v>1.631944444444445E-3</c:v>
              </c:pt>
              <c:pt idx="2">
                <c:v>1.956018518518518E-3</c:v>
              </c:pt>
              <c:pt idx="3">
                <c:v>1.8171296296296299E-3</c:v>
              </c:pt>
              <c:pt idx="4">
                <c:v>2.0023148148148148E-3</c:v>
              </c:pt>
              <c:pt idx="5">
                <c:v>1.956018518518518E-3</c:v>
              </c:pt>
              <c:pt idx="6">
                <c:v>1.446759259259259E-3</c:v>
              </c:pt>
              <c:pt idx="7">
                <c:v>2.1064814814814809E-3</c:v>
              </c:pt>
              <c:pt idx="8">
                <c:v>1.446759259259259E-3</c:v>
              </c:pt>
              <c:pt idx="9">
                <c:v>1.8171296296296299E-3</c:v>
              </c:pt>
              <c:pt idx="10">
                <c:v>1.5972222222222221E-3</c:v>
              </c:pt>
              <c:pt idx="11">
                <c:v>1.8865740740740739E-3</c:v>
              </c:pt>
              <c:pt idx="12">
                <c:v>1.770833333333333E-3</c:v>
              </c:pt>
              <c:pt idx="13">
                <c:v>1.3657407407407409E-3</c:v>
              </c:pt>
              <c:pt idx="14">
                <c:v>2.0370370370370369E-3</c:v>
              </c:pt>
              <c:pt idx="15">
                <c:v>1.3657407407407409E-3</c:v>
              </c:pt>
              <c:pt idx="16">
                <c:v>1.3773148148148149E-3</c:v>
              </c:pt>
              <c:pt idx="17">
                <c:v>2.0023148148148148E-3</c:v>
              </c:pt>
              <c:pt idx="18">
                <c:v>1.481481481481481E-3</c:v>
              </c:pt>
              <c:pt idx="19">
                <c:v>2.0370370370370369E-3</c:v>
              </c:pt>
              <c:pt idx="20">
                <c:v>1.5277777777777781E-3</c:v>
              </c:pt>
              <c:pt idx="21">
                <c:v>2.1875000000000002E-3</c:v>
              </c:pt>
              <c:pt idx="22">
                <c:v>1.956018518518518E-3</c:v>
              </c:pt>
              <c:pt idx="23">
                <c:v>1.8518518518518519E-3</c:v>
              </c:pt>
              <c:pt idx="24">
                <c:v>2.1875000000000002E-3</c:v>
              </c:pt>
              <c:pt idx="25">
                <c:v>1.8865740740740739E-3</c:v>
              </c:pt>
              <c:pt idx="26">
                <c:v>1.5625000000000001E-3</c:v>
              </c:pt>
              <c:pt idx="27">
                <c:v>2.0023148148148148E-3</c:v>
              </c:pt>
              <c:pt idx="28">
                <c:v>1.631944444444445E-3</c:v>
              </c:pt>
              <c:pt idx="29">
                <c:v>1.3194444444444441E-3</c:v>
              </c:pt>
              <c:pt idx="30">
                <c:v>1.1226851851851849E-3</c:v>
              </c:pt>
              <c:pt idx="31">
                <c:v>1.956018518518518E-3</c:v>
              </c:pt>
              <c:pt idx="32">
                <c:v>1.5625000000000001E-3</c:v>
              </c:pt>
              <c:pt idx="33">
                <c:v>2.0023148148148148E-3</c:v>
              </c:pt>
              <c:pt idx="34">
                <c:v>1.5972222222222221E-3</c:v>
              </c:pt>
              <c:pt idx="35">
                <c:v>2.2569444444444438E-3</c:v>
              </c:pt>
              <c:pt idx="36">
                <c:v>1.5625000000000001E-3</c:v>
              </c:pt>
              <c:pt idx="37">
                <c:v>1.770833333333333E-3</c:v>
              </c:pt>
              <c:pt idx="38">
                <c:v>2.0370370370370369E-3</c:v>
              </c:pt>
              <c:pt idx="39">
                <c:v>1.5972222222222221E-3</c:v>
              </c:pt>
              <c:pt idx="40">
                <c:v>1.9212962962962959E-3</c:v>
              </c:pt>
              <c:pt idx="41">
                <c:v>1.782407407407407E-3</c:v>
              </c:pt>
              <c:pt idx="42">
                <c:v>1.956018518518518E-3</c:v>
              </c:pt>
              <c:pt idx="43">
                <c:v>1.956018518518518E-3</c:v>
              </c:pt>
              <c:pt idx="44">
                <c:v>1.9212962962962959E-3</c:v>
              </c:pt>
              <c:pt idx="45">
                <c:v>1.8171296296296299E-3</c:v>
              </c:pt>
              <c:pt idx="46">
                <c:v>2.0023148148148148E-3</c:v>
              </c:pt>
              <c:pt idx="47">
                <c:v>2.1064814814814809E-3</c:v>
              </c:pt>
              <c:pt idx="48">
                <c:v>1.712962962962963E-3</c:v>
              </c:pt>
              <c:pt idx="49">
                <c:v>2.0717592592592589E-3</c:v>
              </c:pt>
              <c:pt idx="50">
                <c:v>1.956018518518518E-3</c:v>
              </c:pt>
              <c:pt idx="51">
                <c:v>2.1064814814814809E-3</c:v>
              </c:pt>
              <c:pt idx="52">
                <c:v>1.8865740740740739E-3</c:v>
              </c:pt>
              <c:pt idx="53">
                <c:v>1.9212962962962959E-3</c:v>
              </c:pt>
              <c:pt idx="54">
                <c:v>1.8171296296296299E-3</c:v>
              </c:pt>
              <c:pt idx="55">
                <c:v>1.8518518518518519E-3</c:v>
              </c:pt>
              <c:pt idx="56">
                <c:v>1.8865740740740739E-3</c:v>
              </c:pt>
              <c:pt idx="57">
                <c:v>1.8865740740740739E-3</c:v>
              </c:pt>
              <c:pt idx="58">
                <c:v>1.8518518518518519E-3</c:v>
              </c:pt>
              <c:pt idx="59">
                <c:v>1.8518518518518519E-3</c:v>
              </c:pt>
              <c:pt idx="60">
                <c:v>1.8518518518518519E-3</c:v>
              </c:pt>
              <c:pt idx="61">
                <c:v>1.9212962962962959E-3</c:v>
              </c:pt>
              <c:pt idx="62">
                <c:v>1.4120370370370369E-3</c:v>
              </c:pt>
              <c:pt idx="63">
                <c:v>1.8865740740740739E-3</c:v>
              </c:pt>
              <c:pt idx="64">
                <c:v>1.631944444444445E-3</c:v>
              </c:pt>
              <c:pt idx="65">
                <c:v>1.8171296296296299E-3</c:v>
              </c:pt>
              <c:pt idx="66">
                <c:v>1.770833333333333E-3</c:v>
              </c:pt>
              <c:pt idx="67">
                <c:v>2.2916666666666671E-3</c:v>
              </c:pt>
              <c:pt idx="68">
                <c:v>1.956018518518518E-3</c:v>
              </c:pt>
              <c:pt idx="69">
                <c:v>2.0717592592592589E-3</c:v>
              </c:pt>
              <c:pt idx="70">
                <c:v>2.0023148148148148E-3</c:v>
              </c:pt>
              <c:pt idx="71">
                <c:v>1.8865740740740739E-3</c:v>
              </c:pt>
              <c:pt idx="72">
                <c:v>2.0023148148148148E-3</c:v>
              </c:pt>
              <c:pt idx="73">
                <c:v>2.0023148148148148E-3</c:v>
              </c:pt>
              <c:pt idx="74">
                <c:v>1.9212962962962959E-3</c:v>
              </c:pt>
              <c:pt idx="75">
                <c:v>1.956018518518518E-3</c:v>
              </c:pt>
              <c:pt idx="76">
                <c:v>2.1064814814814809E-3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A88-45C8-9BED-F43C156E67C4}"/>
            </c:ext>
          </c:extLst>
        </c:ser>
        <c:ser>
          <c:idx val="1"/>
          <c:order val="1"/>
          <c:tx>
            <c:v>PushOffDrive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CA311"/>
              </a:solidFill>
              <a:ln>
                <a:solidFill>
                  <a:srgbClr val="FCA311"/>
                </a:solidFill>
                <a:prstDash val="solid"/>
              </a:ln>
            </c:spPr>
          </c:marker>
          <c:xVal>
            <c:numLit>
              <c:formatCode>General</c:formatCode>
              <c:ptCount val="166"/>
              <c:pt idx="0">
                <c:v>263.08999999999997</c:v>
              </c:pt>
              <c:pt idx="1">
                <c:v>290.60000000000002</c:v>
              </c:pt>
              <c:pt idx="2">
                <c:v>263.08999999999997</c:v>
              </c:pt>
              <c:pt idx="3">
                <c:v>450.42</c:v>
              </c:pt>
              <c:pt idx="4">
                <c:v>477.75</c:v>
              </c:pt>
              <c:pt idx="5">
                <c:v>405.43</c:v>
              </c:pt>
              <c:pt idx="6">
                <c:v>269.92</c:v>
              </c:pt>
              <c:pt idx="7">
                <c:v>269.92</c:v>
              </c:pt>
              <c:pt idx="8">
                <c:v>405.43</c:v>
              </c:pt>
              <c:pt idx="9">
                <c:v>269.92</c:v>
              </c:pt>
              <c:pt idx="10">
                <c:v>405.43</c:v>
              </c:pt>
              <c:pt idx="11">
                <c:v>297.43</c:v>
              </c:pt>
              <c:pt idx="12">
                <c:v>477.75</c:v>
              </c:pt>
              <c:pt idx="13">
                <c:v>263.08999999999997</c:v>
              </c:pt>
              <c:pt idx="14">
                <c:v>405.43</c:v>
              </c:pt>
              <c:pt idx="15">
                <c:v>450.42</c:v>
              </c:pt>
              <c:pt idx="16">
                <c:v>405.43</c:v>
              </c:pt>
              <c:pt idx="17">
                <c:v>443.59</c:v>
              </c:pt>
              <c:pt idx="18">
                <c:v>405.22</c:v>
              </c:pt>
              <c:pt idx="19">
                <c:v>453.13</c:v>
              </c:pt>
              <c:pt idx="20">
                <c:v>405.03</c:v>
              </c:pt>
              <c:pt idx="21">
                <c:v>453.13</c:v>
              </c:pt>
              <c:pt idx="22">
                <c:v>405.22</c:v>
              </c:pt>
              <c:pt idx="23">
                <c:v>269.92</c:v>
              </c:pt>
              <c:pt idx="24">
                <c:v>405.03</c:v>
              </c:pt>
              <c:pt idx="25">
                <c:v>354.81</c:v>
              </c:pt>
              <c:pt idx="26">
                <c:v>382.32000000000011</c:v>
              </c:pt>
              <c:pt idx="27">
                <c:v>535.30999999999995</c:v>
              </c:pt>
              <c:pt idx="28">
                <c:v>562.6400000000001</c:v>
              </c:pt>
              <c:pt idx="29">
                <c:v>398.6</c:v>
              </c:pt>
              <c:pt idx="30">
                <c:v>297.43</c:v>
              </c:pt>
              <c:pt idx="31">
                <c:v>269.92</c:v>
              </c:pt>
              <c:pt idx="32">
                <c:v>297.43</c:v>
              </c:pt>
              <c:pt idx="33">
                <c:v>269.92</c:v>
              </c:pt>
              <c:pt idx="34">
                <c:v>477.75</c:v>
              </c:pt>
              <c:pt idx="35">
                <c:v>398.6</c:v>
              </c:pt>
              <c:pt idx="36">
                <c:v>297.43</c:v>
              </c:pt>
              <c:pt idx="37">
                <c:v>412.05</c:v>
              </c:pt>
              <c:pt idx="38">
                <c:v>453.13</c:v>
              </c:pt>
              <c:pt idx="39">
                <c:v>297.43</c:v>
              </c:pt>
              <c:pt idx="40">
                <c:v>405.03</c:v>
              </c:pt>
              <c:pt idx="41">
                <c:v>405.03</c:v>
              </c:pt>
              <c:pt idx="42">
                <c:v>269.92</c:v>
              </c:pt>
              <c:pt idx="43">
                <c:v>269.92</c:v>
              </c:pt>
              <c:pt idx="44">
                <c:v>269.92</c:v>
              </c:pt>
              <c:pt idx="45">
                <c:v>269.92</c:v>
              </c:pt>
              <c:pt idx="46">
                <c:v>297.43</c:v>
              </c:pt>
              <c:pt idx="47">
                <c:v>470.92</c:v>
              </c:pt>
              <c:pt idx="48">
                <c:v>269.92</c:v>
              </c:pt>
              <c:pt idx="49">
                <c:v>405.43</c:v>
              </c:pt>
              <c:pt idx="50">
                <c:v>450.42</c:v>
              </c:pt>
              <c:pt idx="51">
                <c:v>405.43</c:v>
              </c:pt>
              <c:pt idx="52">
                <c:v>290.60000000000002</c:v>
              </c:pt>
              <c:pt idx="53">
                <c:v>371.24</c:v>
              </c:pt>
              <c:pt idx="54">
                <c:v>398.9</c:v>
              </c:pt>
              <c:pt idx="55">
                <c:v>412.05</c:v>
              </c:pt>
              <c:pt idx="56">
                <c:v>371.57</c:v>
              </c:pt>
              <c:pt idx="57">
                <c:v>398.2</c:v>
              </c:pt>
              <c:pt idx="58">
                <c:v>371.57</c:v>
              </c:pt>
              <c:pt idx="59">
                <c:v>477.75</c:v>
              </c:pt>
              <c:pt idx="60">
                <c:v>269.92</c:v>
              </c:pt>
              <c:pt idx="61">
                <c:v>263.08999999999997</c:v>
              </c:pt>
              <c:pt idx="62">
                <c:v>290.60000000000002</c:v>
              </c:pt>
              <c:pt idx="63">
                <c:v>263.08999999999997</c:v>
              </c:pt>
              <c:pt idx="64">
                <c:v>269.92</c:v>
              </c:pt>
              <c:pt idx="65">
                <c:v>477.75</c:v>
              </c:pt>
              <c:pt idx="66">
                <c:v>290.60000000000002</c:v>
              </c:pt>
              <c:pt idx="67">
                <c:v>263.08999999999997</c:v>
              </c:pt>
              <c:pt idx="68">
                <c:v>453.13</c:v>
              </c:pt>
              <c:pt idx="69">
                <c:v>405.43</c:v>
              </c:pt>
              <c:pt idx="70">
                <c:v>297.43</c:v>
              </c:pt>
              <c:pt idx="71">
                <c:v>412.05</c:v>
              </c:pt>
              <c:pt idx="72">
                <c:v>378.4</c:v>
              </c:pt>
              <c:pt idx="73">
                <c:v>344.04</c:v>
              </c:pt>
              <c:pt idx="74">
                <c:v>405.22</c:v>
              </c:pt>
              <c:pt idx="75">
                <c:v>344.04</c:v>
              </c:pt>
              <c:pt idx="76">
                <c:v>269.92</c:v>
              </c:pt>
              <c:pt idx="77">
                <c:v>290.60000000000002</c:v>
              </c:pt>
              <c:pt idx="78">
                <c:v>470.92</c:v>
              </c:pt>
              <c:pt idx="79">
                <c:v>290.60000000000002</c:v>
              </c:pt>
              <c:pt idx="80">
                <c:v>405.43</c:v>
              </c:pt>
              <c:pt idx="81">
                <c:v>269.92</c:v>
              </c:pt>
              <c:pt idx="82">
                <c:v>297.43</c:v>
              </c:pt>
              <c:pt idx="83">
                <c:v>405.03</c:v>
              </c:pt>
              <c:pt idx="84">
                <c:v>269.92</c:v>
              </c:pt>
              <c:pt idx="85">
                <c:v>405.43</c:v>
              </c:pt>
              <c:pt idx="86">
                <c:v>412.05</c:v>
              </c:pt>
              <c:pt idx="87">
                <c:v>450.42</c:v>
              </c:pt>
              <c:pt idx="88">
                <c:v>297.43</c:v>
              </c:pt>
              <c:pt idx="89">
                <c:v>412.05</c:v>
              </c:pt>
              <c:pt idx="90">
                <c:v>269.92</c:v>
              </c:pt>
              <c:pt idx="91">
                <c:v>450.42</c:v>
              </c:pt>
              <c:pt idx="92">
                <c:v>459.96</c:v>
              </c:pt>
              <c:pt idx="93">
                <c:v>263.08999999999997</c:v>
              </c:pt>
              <c:pt idx="94">
                <c:v>470.92</c:v>
              </c:pt>
              <c:pt idx="95">
                <c:v>371.57</c:v>
              </c:pt>
              <c:pt idx="96">
                <c:v>459.96</c:v>
              </c:pt>
              <c:pt idx="97">
                <c:v>412.05</c:v>
              </c:pt>
              <c:pt idx="98">
                <c:v>459.96</c:v>
              </c:pt>
              <c:pt idx="99">
                <c:v>405.43</c:v>
              </c:pt>
              <c:pt idx="100">
                <c:v>269.92</c:v>
              </c:pt>
              <c:pt idx="101">
                <c:v>297.43</c:v>
              </c:pt>
              <c:pt idx="102">
                <c:v>477.75</c:v>
              </c:pt>
              <c:pt idx="103">
                <c:v>405.43</c:v>
              </c:pt>
              <c:pt idx="104">
                <c:v>378.4</c:v>
              </c:pt>
              <c:pt idx="105">
                <c:v>405.03</c:v>
              </c:pt>
              <c:pt idx="106">
                <c:v>378.4</c:v>
              </c:pt>
              <c:pt idx="107">
                <c:v>297.43</c:v>
              </c:pt>
              <c:pt idx="108">
                <c:v>269.92</c:v>
              </c:pt>
              <c:pt idx="109">
                <c:v>297.43</c:v>
              </c:pt>
              <c:pt idx="110">
                <c:v>477.75</c:v>
              </c:pt>
              <c:pt idx="111">
                <c:v>405.43</c:v>
              </c:pt>
              <c:pt idx="112">
                <c:v>412.05</c:v>
              </c:pt>
              <c:pt idx="113">
                <c:v>459.96</c:v>
              </c:pt>
              <c:pt idx="114">
                <c:v>412.05</c:v>
              </c:pt>
              <c:pt idx="115">
                <c:v>459.96</c:v>
              </c:pt>
              <c:pt idx="116">
                <c:v>269.92</c:v>
              </c:pt>
              <c:pt idx="117">
                <c:v>405.03</c:v>
              </c:pt>
              <c:pt idx="118">
                <c:v>378.4</c:v>
              </c:pt>
              <c:pt idx="119">
                <c:v>378.4</c:v>
              </c:pt>
              <c:pt idx="120">
                <c:v>412.05</c:v>
              </c:pt>
              <c:pt idx="121">
                <c:v>477.75</c:v>
              </c:pt>
              <c:pt idx="122">
                <c:v>450.42</c:v>
              </c:pt>
              <c:pt idx="123">
                <c:v>269.92</c:v>
              </c:pt>
              <c:pt idx="124">
                <c:v>477.75</c:v>
              </c:pt>
              <c:pt idx="125">
                <c:v>297.43</c:v>
              </c:pt>
              <c:pt idx="126">
                <c:v>405.43</c:v>
              </c:pt>
              <c:pt idx="127">
                <c:v>405.03</c:v>
              </c:pt>
              <c:pt idx="128">
                <c:v>263.08999999999997</c:v>
              </c:pt>
              <c:pt idx="129">
                <c:v>450.42</c:v>
              </c:pt>
              <c:pt idx="130">
                <c:v>477.75</c:v>
              </c:pt>
              <c:pt idx="131">
                <c:v>412.05</c:v>
              </c:pt>
              <c:pt idx="132">
                <c:v>453.13</c:v>
              </c:pt>
              <c:pt idx="133">
                <c:v>371.57</c:v>
              </c:pt>
              <c:pt idx="134">
                <c:v>453.13</c:v>
              </c:pt>
              <c:pt idx="135">
                <c:v>297.43</c:v>
              </c:pt>
              <c:pt idx="136">
                <c:v>350.87</c:v>
              </c:pt>
              <c:pt idx="137">
                <c:v>405.03</c:v>
              </c:pt>
              <c:pt idx="138">
                <c:v>269.92</c:v>
              </c:pt>
              <c:pt idx="139">
                <c:v>297.43</c:v>
              </c:pt>
              <c:pt idx="140">
                <c:v>405.03</c:v>
              </c:pt>
              <c:pt idx="141">
                <c:v>450.42</c:v>
              </c:pt>
              <c:pt idx="142">
                <c:v>297.43</c:v>
              </c:pt>
              <c:pt idx="143">
                <c:v>477.75</c:v>
              </c:pt>
              <c:pt idx="144">
                <c:v>412.05</c:v>
              </c:pt>
              <c:pt idx="145">
                <c:v>269.92</c:v>
              </c:pt>
              <c:pt idx="146">
                <c:v>412.05</c:v>
              </c:pt>
              <c:pt idx="147">
                <c:v>269.92</c:v>
              </c:pt>
              <c:pt idx="148">
                <c:v>350.87</c:v>
              </c:pt>
              <c:pt idx="149">
                <c:v>477.75</c:v>
              </c:pt>
              <c:pt idx="150">
                <c:v>269.92</c:v>
              </c:pt>
              <c:pt idx="151">
                <c:v>378.4</c:v>
              </c:pt>
              <c:pt idx="152">
                <c:v>297.43</c:v>
              </c:pt>
              <c:pt idx="153">
                <c:v>378.4</c:v>
              </c:pt>
              <c:pt idx="154">
                <c:v>405.43</c:v>
              </c:pt>
              <c:pt idx="155">
                <c:v>297.43</c:v>
              </c:pt>
              <c:pt idx="156">
                <c:v>405.43</c:v>
              </c:pt>
              <c:pt idx="157">
                <c:v>450.42</c:v>
              </c:pt>
              <c:pt idx="158">
                <c:v>412.05</c:v>
              </c:pt>
              <c:pt idx="159">
                <c:v>459.96</c:v>
              </c:pt>
              <c:pt idx="160">
                <c:v>459.96</c:v>
              </c:pt>
              <c:pt idx="161">
                <c:v>450.42</c:v>
              </c:pt>
              <c:pt idx="162">
                <c:v>405.43</c:v>
              </c:pt>
              <c:pt idx="163">
                <c:v>450.42</c:v>
              </c:pt>
              <c:pt idx="164">
                <c:v>477.75</c:v>
              </c:pt>
              <c:pt idx="165">
                <c:v>450.42</c:v>
              </c:pt>
            </c:numLit>
          </c:xVal>
          <c:yVal>
            <c:numLit>
              <c:formatCode>General</c:formatCode>
              <c:ptCount val="166"/>
              <c:pt idx="0">
                <c:v>8.7962962962962962E-4</c:v>
              </c:pt>
              <c:pt idx="1">
                <c:v>1.0300925925925931E-3</c:v>
              </c:pt>
              <c:pt idx="2">
                <c:v>8.3333333333333339E-4</c:v>
              </c:pt>
              <c:pt idx="3">
                <c:v>1.5162037037037041E-3</c:v>
              </c:pt>
              <c:pt idx="4">
                <c:v>1.5162037037037041E-3</c:v>
              </c:pt>
              <c:pt idx="5">
                <c:v>1.19212962962963E-3</c:v>
              </c:pt>
              <c:pt idx="6">
                <c:v>1.1111111111111109E-3</c:v>
              </c:pt>
              <c:pt idx="7">
                <c:v>9.7222222222222219E-4</c:v>
              </c:pt>
              <c:pt idx="8">
                <c:v>1.273148148148148E-3</c:v>
              </c:pt>
              <c:pt idx="9">
                <c:v>9.3749999999999997E-4</c:v>
              </c:pt>
              <c:pt idx="10">
                <c:v>1.203703703703704E-3</c:v>
              </c:pt>
              <c:pt idx="11">
                <c:v>9.3749999999999997E-4</c:v>
              </c:pt>
              <c:pt idx="12">
                <c:v>1.5856481481481481E-3</c:v>
              </c:pt>
              <c:pt idx="13">
                <c:v>1.0300925925925931E-3</c:v>
              </c:pt>
              <c:pt idx="14">
                <c:v>1.30787037037037E-3</c:v>
              </c:pt>
              <c:pt idx="15">
                <c:v>1.446759259259259E-3</c:v>
              </c:pt>
              <c:pt idx="16">
                <c:v>1.273148148148148E-3</c:v>
              </c:pt>
              <c:pt idx="17">
                <c:v>1.30787037037037E-3</c:v>
              </c:pt>
              <c:pt idx="18">
                <c:v>1.203703703703704E-3</c:v>
              </c:pt>
              <c:pt idx="19">
                <c:v>1.4120370370370369E-3</c:v>
              </c:pt>
              <c:pt idx="20">
                <c:v>1.3541666666666669E-3</c:v>
              </c:pt>
              <c:pt idx="21">
                <c:v>1.435185185185185E-3</c:v>
              </c:pt>
              <c:pt idx="22">
                <c:v>1.3888888888888889E-3</c:v>
              </c:pt>
              <c:pt idx="23">
                <c:v>1.0416666666666671E-3</c:v>
              </c:pt>
              <c:pt idx="24">
                <c:v>1.30787037037037E-3</c:v>
              </c:pt>
              <c:pt idx="25">
                <c:v>1.0532407407407411E-3</c:v>
              </c:pt>
              <c:pt idx="26">
                <c:v>1.1458333333333329E-3</c:v>
              </c:pt>
              <c:pt idx="27">
                <c:v>1.5625000000000001E-3</c:v>
              </c:pt>
              <c:pt idx="28">
                <c:v>1.631944444444445E-3</c:v>
              </c:pt>
              <c:pt idx="29">
                <c:v>1.3310185185185181E-3</c:v>
              </c:pt>
              <c:pt idx="30">
                <c:v>9.0277777777777774E-4</c:v>
              </c:pt>
              <c:pt idx="31">
                <c:v>9.7222222222222219E-4</c:v>
              </c:pt>
              <c:pt idx="32">
                <c:v>9.7222222222222219E-4</c:v>
              </c:pt>
              <c:pt idx="33">
                <c:v>8.2175925925925927E-4</c:v>
              </c:pt>
              <c:pt idx="34">
                <c:v>1.666666666666667E-3</c:v>
              </c:pt>
              <c:pt idx="35">
                <c:v>1.446759259259259E-3</c:v>
              </c:pt>
              <c:pt idx="36">
                <c:v>8.9120370370370373E-4</c:v>
              </c:pt>
              <c:pt idx="37">
                <c:v>1.5162037037037041E-3</c:v>
              </c:pt>
              <c:pt idx="38">
                <c:v>1.631944444444445E-3</c:v>
              </c:pt>
              <c:pt idx="39">
                <c:v>1.238425925925926E-3</c:v>
              </c:pt>
              <c:pt idx="40">
                <c:v>1.30787037037037E-3</c:v>
              </c:pt>
              <c:pt idx="41">
                <c:v>1.226851851851852E-3</c:v>
              </c:pt>
              <c:pt idx="42">
                <c:v>1.018518518518518E-3</c:v>
              </c:pt>
              <c:pt idx="43">
                <c:v>1.006944444444444E-3</c:v>
              </c:pt>
              <c:pt idx="44">
                <c:v>1.3425925925925921E-3</c:v>
              </c:pt>
              <c:pt idx="45">
                <c:v>9.7222222222222219E-4</c:v>
              </c:pt>
              <c:pt idx="46">
                <c:v>9.0277777777777774E-4</c:v>
              </c:pt>
              <c:pt idx="47">
                <c:v>1.712962962962963E-3</c:v>
              </c:pt>
              <c:pt idx="48">
                <c:v>8.6805555555555551E-4</c:v>
              </c:pt>
              <c:pt idx="49">
                <c:v>1.238425925925926E-3</c:v>
              </c:pt>
              <c:pt idx="50">
                <c:v>1.3541666666666669E-3</c:v>
              </c:pt>
              <c:pt idx="51">
                <c:v>1.203703703703704E-3</c:v>
              </c:pt>
              <c:pt idx="52">
                <c:v>1.284722222222222E-3</c:v>
              </c:pt>
              <c:pt idx="53">
                <c:v>1.3657407407407409E-3</c:v>
              </c:pt>
              <c:pt idx="54">
                <c:v>1.3310185185185181E-3</c:v>
              </c:pt>
              <c:pt idx="55">
                <c:v>1.5162037037037041E-3</c:v>
              </c:pt>
              <c:pt idx="56">
                <c:v>1.215277777777778E-3</c:v>
              </c:pt>
              <c:pt idx="57">
                <c:v>1.226851851851852E-3</c:v>
              </c:pt>
              <c:pt idx="58">
                <c:v>1.1342592592592589E-3</c:v>
              </c:pt>
              <c:pt idx="59">
                <c:v>1.6203703703703701E-3</c:v>
              </c:pt>
              <c:pt idx="60">
                <c:v>8.6805555555555551E-4</c:v>
              </c:pt>
              <c:pt idx="61">
                <c:v>8.3333333333333339E-4</c:v>
              </c:pt>
              <c:pt idx="62">
                <c:v>8.9120370370370373E-4</c:v>
              </c:pt>
              <c:pt idx="63">
                <c:v>9.837962962962962E-4</c:v>
              </c:pt>
              <c:pt idx="64">
                <c:v>9.2592592592592596E-4</c:v>
              </c:pt>
              <c:pt idx="65">
                <c:v>1.8171296296296299E-3</c:v>
              </c:pt>
              <c:pt idx="66">
                <c:v>8.7962962962962962E-4</c:v>
              </c:pt>
              <c:pt idx="67">
                <c:v>9.6064814814814819E-4</c:v>
              </c:pt>
              <c:pt idx="68">
                <c:v>1.3657407407407409E-3</c:v>
              </c:pt>
              <c:pt idx="69">
                <c:v>1.203703703703704E-3</c:v>
              </c:pt>
              <c:pt idx="70">
                <c:v>9.3749999999999997E-4</c:v>
              </c:pt>
              <c:pt idx="71">
                <c:v>1.3194444444444441E-3</c:v>
              </c:pt>
              <c:pt idx="72">
                <c:v>1.3194444444444441E-3</c:v>
              </c:pt>
              <c:pt idx="73">
                <c:v>1.1458333333333329E-3</c:v>
              </c:pt>
              <c:pt idx="74">
                <c:v>1.273148148148148E-3</c:v>
              </c:pt>
              <c:pt idx="75">
                <c:v>1.0648148148148151E-3</c:v>
              </c:pt>
              <c:pt idx="76">
                <c:v>1.0763888888888891E-3</c:v>
              </c:pt>
              <c:pt idx="77">
                <c:v>1.0300925925925931E-3</c:v>
              </c:pt>
              <c:pt idx="78">
                <c:v>1.5277777777777781E-3</c:v>
              </c:pt>
              <c:pt idx="79">
                <c:v>9.9537037037037042E-4</c:v>
              </c:pt>
              <c:pt idx="80">
                <c:v>1.5046296296296301E-3</c:v>
              </c:pt>
              <c:pt idx="81">
                <c:v>8.2175925925925927E-4</c:v>
              </c:pt>
              <c:pt idx="82">
                <c:v>9.3749999999999997E-4</c:v>
              </c:pt>
              <c:pt idx="83">
                <c:v>1.19212962962963E-3</c:v>
              </c:pt>
              <c:pt idx="84">
                <c:v>8.6805555555555551E-4</c:v>
              </c:pt>
              <c:pt idx="85">
                <c:v>1.273148148148148E-3</c:v>
              </c:pt>
              <c:pt idx="86">
                <c:v>1.226851851851852E-3</c:v>
              </c:pt>
              <c:pt idx="87">
                <c:v>1.3541666666666669E-3</c:v>
              </c:pt>
              <c:pt idx="88">
                <c:v>9.0277777777777774E-4</c:v>
              </c:pt>
              <c:pt idx="89">
                <c:v>1.296296296296296E-3</c:v>
              </c:pt>
              <c:pt idx="90">
                <c:v>9.0277777777777774E-4</c:v>
              </c:pt>
              <c:pt idx="91">
                <c:v>1.4004629629629629E-3</c:v>
              </c:pt>
              <c:pt idx="92">
                <c:v>1.3888888888888889E-3</c:v>
              </c:pt>
              <c:pt idx="93">
                <c:v>1.0300925925925931E-3</c:v>
              </c:pt>
              <c:pt idx="94">
                <c:v>1.4930555555555561E-3</c:v>
              </c:pt>
              <c:pt idx="95">
                <c:v>1.0995370370370371E-3</c:v>
              </c:pt>
              <c:pt idx="96">
                <c:v>1.3541666666666669E-3</c:v>
              </c:pt>
              <c:pt idx="97">
                <c:v>1.215277777777778E-3</c:v>
              </c:pt>
              <c:pt idx="98">
                <c:v>1.3888888888888889E-3</c:v>
              </c:pt>
              <c:pt idx="99">
                <c:v>1.3888888888888889E-3</c:v>
              </c:pt>
              <c:pt idx="100">
                <c:v>8.2175925925925927E-4</c:v>
              </c:pt>
              <c:pt idx="101">
                <c:v>9.3749999999999997E-4</c:v>
              </c:pt>
              <c:pt idx="102">
                <c:v>1.631944444444445E-3</c:v>
              </c:pt>
              <c:pt idx="103">
                <c:v>1.4930555555555561E-3</c:v>
              </c:pt>
              <c:pt idx="104">
                <c:v>1.19212962962963E-3</c:v>
              </c:pt>
              <c:pt idx="105">
                <c:v>1.3194444444444441E-3</c:v>
              </c:pt>
              <c:pt idx="106">
                <c:v>1.226851851851852E-3</c:v>
              </c:pt>
              <c:pt idx="107">
                <c:v>9.3749999999999997E-4</c:v>
              </c:pt>
              <c:pt idx="108">
                <c:v>8.2175925925925927E-4</c:v>
              </c:pt>
              <c:pt idx="109">
                <c:v>9.3749999999999997E-4</c:v>
              </c:pt>
              <c:pt idx="110">
                <c:v>1.5509259259259261E-3</c:v>
              </c:pt>
              <c:pt idx="111">
                <c:v>1.238425925925926E-3</c:v>
              </c:pt>
              <c:pt idx="112">
                <c:v>1.215277777777778E-3</c:v>
              </c:pt>
              <c:pt idx="113">
                <c:v>1.3541666666666669E-3</c:v>
              </c:pt>
              <c:pt idx="114">
                <c:v>1.215277777777778E-3</c:v>
              </c:pt>
              <c:pt idx="115">
                <c:v>1.5277777777777781E-3</c:v>
              </c:pt>
              <c:pt idx="116">
                <c:v>8.564814814814815E-4</c:v>
              </c:pt>
              <c:pt idx="117">
                <c:v>1.203703703703704E-3</c:v>
              </c:pt>
              <c:pt idx="118">
                <c:v>1.1574074074074069E-3</c:v>
              </c:pt>
              <c:pt idx="119">
                <c:v>1.3425925925925921E-3</c:v>
              </c:pt>
              <c:pt idx="120">
                <c:v>1.4120370370370369E-3</c:v>
              </c:pt>
              <c:pt idx="121">
                <c:v>1.4004629629629629E-3</c:v>
              </c:pt>
              <c:pt idx="122">
                <c:v>1.3194444444444441E-3</c:v>
              </c:pt>
              <c:pt idx="123">
                <c:v>8.6805555555555551E-4</c:v>
              </c:pt>
              <c:pt idx="124">
                <c:v>1.5046296296296301E-3</c:v>
              </c:pt>
              <c:pt idx="125">
                <c:v>9.0277777777777774E-4</c:v>
              </c:pt>
              <c:pt idx="126">
                <c:v>1.3888888888888889E-3</c:v>
              </c:pt>
              <c:pt idx="127">
                <c:v>1.19212962962963E-3</c:v>
              </c:pt>
              <c:pt idx="128">
                <c:v>9.837962962962962E-4</c:v>
              </c:pt>
              <c:pt idx="129">
                <c:v>1.3657407407407409E-3</c:v>
              </c:pt>
              <c:pt idx="130">
                <c:v>1.4004629629629629E-3</c:v>
              </c:pt>
              <c:pt idx="131">
                <c:v>1.25E-3</c:v>
              </c:pt>
              <c:pt idx="132">
                <c:v>1.481481481481481E-3</c:v>
              </c:pt>
              <c:pt idx="133">
                <c:v>1.1111111111111109E-3</c:v>
              </c:pt>
              <c:pt idx="134">
                <c:v>1.446759259259259E-3</c:v>
              </c:pt>
              <c:pt idx="135">
                <c:v>9.3749999999999997E-4</c:v>
              </c:pt>
              <c:pt idx="136">
                <c:v>1.0763888888888891E-3</c:v>
              </c:pt>
              <c:pt idx="137">
                <c:v>1.19212962962963E-3</c:v>
              </c:pt>
              <c:pt idx="138">
                <c:v>8.6805555555555551E-4</c:v>
              </c:pt>
              <c:pt idx="139">
                <c:v>9.7222222222222219E-4</c:v>
              </c:pt>
              <c:pt idx="140">
                <c:v>1.4930555555555561E-3</c:v>
              </c:pt>
              <c:pt idx="141">
                <c:v>1.435185185185185E-3</c:v>
              </c:pt>
              <c:pt idx="142">
                <c:v>1.1226851851851849E-3</c:v>
              </c:pt>
              <c:pt idx="143">
                <c:v>1.4004629629629629E-3</c:v>
              </c:pt>
              <c:pt idx="144">
                <c:v>1.215277777777778E-3</c:v>
              </c:pt>
              <c:pt idx="145">
                <c:v>8.6805555555555551E-4</c:v>
              </c:pt>
              <c:pt idx="146">
                <c:v>1.3194444444444441E-3</c:v>
              </c:pt>
              <c:pt idx="147">
                <c:v>8.6805555555555551E-4</c:v>
              </c:pt>
              <c:pt idx="148">
                <c:v>1.1574074074074069E-3</c:v>
              </c:pt>
              <c:pt idx="149">
                <c:v>1.446759259259259E-3</c:v>
              </c:pt>
              <c:pt idx="150">
                <c:v>8.564814814814815E-4</c:v>
              </c:pt>
              <c:pt idx="151">
                <c:v>1.1342592592592589E-3</c:v>
              </c:pt>
              <c:pt idx="152">
                <c:v>8.9120370370370373E-4</c:v>
              </c:pt>
              <c:pt idx="153">
                <c:v>1.203703703703704E-3</c:v>
              </c:pt>
              <c:pt idx="154">
                <c:v>1.30787037037037E-3</c:v>
              </c:pt>
              <c:pt idx="155">
                <c:v>9.0277777777777774E-4</c:v>
              </c:pt>
              <c:pt idx="156">
                <c:v>1.273148148148148E-3</c:v>
              </c:pt>
              <c:pt idx="157">
                <c:v>1.4004629629629629E-3</c:v>
              </c:pt>
              <c:pt idx="158">
                <c:v>1.25E-3</c:v>
              </c:pt>
              <c:pt idx="159">
                <c:v>1.423611111111111E-3</c:v>
              </c:pt>
              <c:pt idx="160">
                <c:v>1.3888888888888889E-3</c:v>
              </c:pt>
              <c:pt idx="161">
                <c:v>1.3194444444444441E-3</c:v>
              </c:pt>
              <c:pt idx="162">
                <c:v>1.273148148148148E-3</c:v>
              </c:pt>
              <c:pt idx="163">
                <c:v>1.3657407407407409E-3</c:v>
              </c:pt>
              <c:pt idx="164">
                <c:v>1.5856481481481481E-3</c:v>
              </c:pt>
              <c:pt idx="165">
                <c:v>1.770833333333333E-3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A88-45C8-9BED-F43C156E67C4}"/>
            </c:ext>
          </c:extLst>
        </c:ser>
        <c:ser>
          <c:idx val="2"/>
          <c:order val="2"/>
          <c:tx>
            <c:v>DepartureDrive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2EC670"/>
              </a:solidFill>
              <a:ln>
                <a:solidFill>
                  <a:srgbClr val="2EC670"/>
                </a:solidFill>
                <a:prstDash val="solid"/>
              </a:ln>
            </c:spPr>
          </c:marker>
          <c:xVal>
            <c:numLit>
              <c:formatCode>General</c:formatCode>
              <c:ptCount val="78"/>
              <c:pt idx="0">
                <c:v>223.61</c:v>
              </c:pt>
              <c:pt idx="1">
                <c:v>188.33</c:v>
              </c:pt>
              <c:pt idx="2">
                <c:v>223.61</c:v>
              </c:pt>
              <c:pt idx="3">
                <c:v>286.14</c:v>
              </c:pt>
              <c:pt idx="4">
                <c:v>223.61</c:v>
              </c:pt>
              <c:pt idx="5">
                <c:v>205.9</c:v>
              </c:pt>
              <c:pt idx="6">
                <c:v>240.31</c:v>
              </c:pt>
              <c:pt idx="7">
                <c:v>223.61</c:v>
              </c:pt>
              <c:pt idx="8">
                <c:v>188.33</c:v>
              </c:pt>
              <c:pt idx="9">
                <c:v>286.14</c:v>
              </c:pt>
              <c:pt idx="10">
                <c:v>262.93</c:v>
              </c:pt>
              <c:pt idx="11">
                <c:v>259.31</c:v>
              </c:pt>
              <c:pt idx="12">
                <c:v>223.61</c:v>
              </c:pt>
              <c:pt idx="13">
                <c:v>245</c:v>
              </c:pt>
              <c:pt idx="14">
                <c:v>223.61</c:v>
              </c:pt>
              <c:pt idx="15">
                <c:v>205.9</c:v>
              </c:pt>
              <c:pt idx="16">
                <c:v>240.31</c:v>
              </c:pt>
              <c:pt idx="17">
                <c:v>286.14</c:v>
              </c:pt>
              <c:pt idx="18">
                <c:v>259.31</c:v>
              </c:pt>
              <c:pt idx="19">
                <c:v>262.93</c:v>
              </c:pt>
              <c:pt idx="20">
                <c:v>205.9</c:v>
              </c:pt>
              <c:pt idx="21">
                <c:v>245</c:v>
              </c:pt>
              <c:pt idx="22">
                <c:v>223.61</c:v>
              </c:pt>
              <c:pt idx="23">
                <c:v>223.61</c:v>
              </c:pt>
              <c:pt idx="24">
                <c:v>223.61</c:v>
              </c:pt>
              <c:pt idx="25">
                <c:v>240.31</c:v>
              </c:pt>
              <c:pt idx="26">
                <c:v>223.61</c:v>
              </c:pt>
              <c:pt idx="27">
                <c:v>286.14</c:v>
              </c:pt>
              <c:pt idx="28">
                <c:v>286.14</c:v>
              </c:pt>
              <c:pt idx="29">
                <c:v>205.9</c:v>
              </c:pt>
              <c:pt idx="30">
                <c:v>259.31</c:v>
              </c:pt>
              <c:pt idx="31">
                <c:v>240.31</c:v>
              </c:pt>
              <c:pt idx="32">
                <c:v>223.61</c:v>
              </c:pt>
              <c:pt idx="33">
                <c:v>240.31</c:v>
              </c:pt>
              <c:pt idx="34">
                <c:v>262.93</c:v>
              </c:pt>
              <c:pt idx="35">
                <c:v>223.61</c:v>
              </c:pt>
              <c:pt idx="36">
                <c:v>205.9</c:v>
              </c:pt>
              <c:pt idx="37">
                <c:v>286.14</c:v>
              </c:pt>
              <c:pt idx="38">
                <c:v>259.31</c:v>
              </c:pt>
              <c:pt idx="39">
                <c:v>259.16000000000003</c:v>
              </c:pt>
              <c:pt idx="40">
                <c:v>223.61</c:v>
              </c:pt>
              <c:pt idx="41">
                <c:v>205.9</c:v>
              </c:pt>
              <c:pt idx="42">
                <c:v>286.14</c:v>
              </c:pt>
              <c:pt idx="43">
                <c:v>188.33</c:v>
              </c:pt>
              <c:pt idx="44">
                <c:v>223.61</c:v>
              </c:pt>
              <c:pt idx="45">
                <c:v>223.61</c:v>
              </c:pt>
              <c:pt idx="46">
                <c:v>259.31</c:v>
              </c:pt>
              <c:pt idx="47">
                <c:v>240.31</c:v>
              </c:pt>
              <c:pt idx="48">
                <c:v>262.93</c:v>
              </c:pt>
              <c:pt idx="49">
                <c:v>286.14</c:v>
              </c:pt>
              <c:pt idx="50">
                <c:v>205.9</c:v>
              </c:pt>
              <c:pt idx="51">
                <c:v>240.31</c:v>
              </c:pt>
              <c:pt idx="52">
                <c:v>286.14</c:v>
              </c:pt>
              <c:pt idx="53">
                <c:v>245</c:v>
              </c:pt>
              <c:pt idx="54">
                <c:v>286.14</c:v>
              </c:pt>
              <c:pt idx="55">
                <c:v>223.61</c:v>
              </c:pt>
              <c:pt idx="56">
                <c:v>262.93</c:v>
              </c:pt>
              <c:pt idx="57">
                <c:v>286.14</c:v>
              </c:pt>
              <c:pt idx="58">
                <c:v>259.31</c:v>
              </c:pt>
              <c:pt idx="59">
                <c:v>240.31</c:v>
              </c:pt>
              <c:pt idx="60">
                <c:v>205.9</c:v>
              </c:pt>
              <c:pt idx="61">
                <c:v>286.14</c:v>
              </c:pt>
              <c:pt idx="62">
                <c:v>188.33</c:v>
              </c:pt>
              <c:pt idx="63">
                <c:v>223.61</c:v>
              </c:pt>
              <c:pt idx="64">
                <c:v>240.31</c:v>
              </c:pt>
              <c:pt idx="65">
                <c:v>262.93</c:v>
              </c:pt>
              <c:pt idx="66">
                <c:v>205.9</c:v>
              </c:pt>
              <c:pt idx="67">
                <c:v>245</c:v>
              </c:pt>
              <c:pt idx="68">
                <c:v>205.9</c:v>
              </c:pt>
              <c:pt idx="69">
                <c:v>223.61</c:v>
              </c:pt>
              <c:pt idx="70">
                <c:v>259.31</c:v>
              </c:pt>
              <c:pt idx="71">
                <c:v>259.16000000000003</c:v>
              </c:pt>
              <c:pt idx="72">
                <c:v>286.14</c:v>
              </c:pt>
              <c:pt idx="73">
                <c:v>286.14</c:v>
              </c:pt>
              <c:pt idx="74">
                <c:v>188.33</c:v>
              </c:pt>
              <c:pt idx="75">
                <c:v>262.93</c:v>
              </c:pt>
              <c:pt idx="76">
                <c:v>240.31</c:v>
              </c:pt>
              <c:pt idx="77">
                <c:v>188.33</c:v>
              </c:pt>
            </c:numLit>
          </c:xVal>
          <c:yVal>
            <c:numLit>
              <c:formatCode>General</c:formatCode>
              <c:ptCount val="78"/>
              <c:pt idx="0">
                <c:v>7.1759259259259259E-4</c:v>
              </c:pt>
              <c:pt idx="1">
                <c:v>6.5972222222222224E-4</c:v>
              </c:pt>
              <c:pt idx="2">
                <c:v>8.3333333333333339E-4</c:v>
              </c:pt>
              <c:pt idx="3">
                <c:v>8.9120370370370373E-4</c:v>
              </c:pt>
              <c:pt idx="4">
                <c:v>8.7962962962962962E-4</c:v>
              </c:pt>
              <c:pt idx="5">
                <c:v>7.6388888888888893E-4</c:v>
              </c:pt>
              <c:pt idx="6">
                <c:v>9.3749999999999997E-4</c:v>
              </c:pt>
              <c:pt idx="7">
                <c:v>7.5231481481481482E-4</c:v>
              </c:pt>
              <c:pt idx="8">
                <c:v>6.5972222222222224E-4</c:v>
              </c:pt>
              <c:pt idx="9">
                <c:v>9.3749999999999997E-4</c:v>
              </c:pt>
              <c:pt idx="10">
                <c:v>8.7962962962962962E-4</c:v>
              </c:pt>
              <c:pt idx="11">
                <c:v>8.6805555555555551E-4</c:v>
              </c:pt>
              <c:pt idx="12">
                <c:v>7.6388888888888893E-4</c:v>
              </c:pt>
              <c:pt idx="13">
                <c:v>9.1435185185185185E-4</c:v>
              </c:pt>
              <c:pt idx="14">
                <c:v>7.6388888888888893E-4</c:v>
              </c:pt>
              <c:pt idx="15">
                <c:v>7.291666666666667E-4</c:v>
              </c:pt>
              <c:pt idx="16">
                <c:v>9.1435185185185185E-4</c:v>
              </c:pt>
              <c:pt idx="17">
                <c:v>1.1458333333333329E-3</c:v>
              </c:pt>
              <c:pt idx="18">
                <c:v>9.1435185185185185E-4</c:v>
              </c:pt>
              <c:pt idx="19">
                <c:v>9.1435185185185185E-4</c:v>
              </c:pt>
              <c:pt idx="20">
                <c:v>9.0277777777777774E-4</c:v>
              </c:pt>
              <c:pt idx="21">
                <c:v>8.1018518518518516E-4</c:v>
              </c:pt>
              <c:pt idx="22">
                <c:v>8.1018518518518516E-4</c:v>
              </c:pt>
              <c:pt idx="23">
                <c:v>7.291666666666667E-4</c:v>
              </c:pt>
              <c:pt idx="24">
                <c:v>1.0532407407407411E-3</c:v>
              </c:pt>
              <c:pt idx="25">
                <c:v>9.0277777777777774E-4</c:v>
              </c:pt>
              <c:pt idx="26">
                <c:v>7.9861111111111116E-4</c:v>
              </c:pt>
              <c:pt idx="27">
                <c:v>1.1111111111111109E-3</c:v>
              </c:pt>
              <c:pt idx="28">
                <c:v>8.9120370370370373E-4</c:v>
              </c:pt>
              <c:pt idx="29">
                <c:v>9.9537037037037042E-4</c:v>
              </c:pt>
              <c:pt idx="30">
                <c:v>9.1435185185185185E-4</c:v>
              </c:pt>
              <c:pt idx="31">
                <c:v>7.9861111111111116E-4</c:v>
              </c:pt>
              <c:pt idx="32">
                <c:v>9.4907407407407408E-4</c:v>
              </c:pt>
              <c:pt idx="33">
                <c:v>9.837962962962962E-4</c:v>
              </c:pt>
              <c:pt idx="34">
                <c:v>8.7962962962962962E-4</c:v>
              </c:pt>
              <c:pt idx="35">
                <c:v>8.7962962962962962E-4</c:v>
              </c:pt>
              <c:pt idx="36">
                <c:v>6.9444444444444447E-4</c:v>
              </c:pt>
              <c:pt idx="37">
                <c:v>8.4490740740740739E-4</c:v>
              </c:pt>
              <c:pt idx="38">
                <c:v>8.7962962962962962E-4</c:v>
              </c:pt>
              <c:pt idx="39">
                <c:v>8.3333333333333339E-4</c:v>
              </c:pt>
              <c:pt idx="40">
                <c:v>7.9861111111111116E-4</c:v>
              </c:pt>
              <c:pt idx="41">
                <c:v>8.4490740740740739E-4</c:v>
              </c:pt>
              <c:pt idx="42">
                <c:v>1.0416666666666671E-3</c:v>
              </c:pt>
              <c:pt idx="43">
                <c:v>6.9444444444444447E-4</c:v>
              </c:pt>
              <c:pt idx="44">
                <c:v>7.9861111111111116E-4</c:v>
              </c:pt>
              <c:pt idx="45">
                <c:v>7.6388888888888893E-4</c:v>
              </c:pt>
              <c:pt idx="46">
                <c:v>8.3333333333333339E-4</c:v>
              </c:pt>
              <c:pt idx="47">
                <c:v>9.0277777777777774E-4</c:v>
              </c:pt>
              <c:pt idx="48">
                <c:v>8.4490740740740739E-4</c:v>
              </c:pt>
              <c:pt idx="49">
                <c:v>9.9537037037037042E-4</c:v>
              </c:pt>
              <c:pt idx="50">
                <c:v>7.291666666666667E-4</c:v>
              </c:pt>
              <c:pt idx="51">
                <c:v>7.9861111111111116E-4</c:v>
              </c:pt>
              <c:pt idx="52">
                <c:v>9.6064814814814819E-4</c:v>
              </c:pt>
              <c:pt idx="53">
                <c:v>8.7962962962962962E-4</c:v>
              </c:pt>
              <c:pt idx="54">
                <c:v>9.9537037037037042E-4</c:v>
              </c:pt>
              <c:pt idx="55">
                <c:v>7.1759259259259259E-4</c:v>
              </c:pt>
              <c:pt idx="56">
                <c:v>8.7962962962962962E-4</c:v>
              </c:pt>
              <c:pt idx="57">
                <c:v>1.006944444444444E-3</c:v>
              </c:pt>
              <c:pt idx="58">
                <c:v>9.3749999999999997E-4</c:v>
              </c:pt>
              <c:pt idx="59">
                <c:v>7.9861111111111116E-4</c:v>
              </c:pt>
              <c:pt idx="60">
                <c:v>7.1759259259259259E-4</c:v>
              </c:pt>
              <c:pt idx="61">
                <c:v>9.6064814814814819E-4</c:v>
              </c:pt>
              <c:pt idx="62">
                <c:v>7.291666666666667E-4</c:v>
              </c:pt>
              <c:pt idx="63">
                <c:v>8.4490740740740739E-4</c:v>
              </c:pt>
              <c:pt idx="64">
                <c:v>7.6388888888888893E-4</c:v>
              </c:pt>
              <c:pt idx="65">
                <c:v>9.4907407407407408E-4</c:v>
              </c:pt>
              <c:pt idx="66">
                <c:v>6.8287037037037036E-4</c:v>
              </c:pt>
              <c:pt idx="67">
                <c:v>1.0995370370370371E-3</c:v>
              </c:pt>
              <c:pt idx="68">
                <c:v>7.291666666666667E-4</c:v>
              </c:pt>
              <c:pt idx="69">
                <c:v>7.9861111111111116E-4</c:v>
              </c:pt>
              <c:pt idx="70">
                <c:v>9.0277777777777774E-4</c:v>
              </c:pt>
              <c:pt idx="71">
                <c:v>8.4490740740740739E-4</c:v>
              </c:pt>
              <c:pt idx="72">
                <c:v>8.9120370370370373E-4</c:v>
              </c:pt>
              <c:pt idx="73">
                <c:v>9.2592592592592596E-4</c:v>
              </c:pt>
              <c:pt idx="74">
                <c:v>7.291666666666667E-4</c:v>
              </c:pt>
              <c:pt idx="75">
                <c:v>7.9861111111111116E-4</c:v>
              </c:pt>
              <c:pt idx="76">
                <c:v>9.4907407407407408E-4</c:v>
              </c:pt>
              <c:pt idx="77">
                <c:v>1.0995370370370371E-3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A88-45C8-9BED-F43C156E6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476831"/>
        <c:axId val="1584465311"/>
      </c:scatterChart>
      <c:valAx>
        <c:axId val="1584476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Drive length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4465311"/>
        <c:crosses val="autoZero"/>
        <c:crossBetween val="midCat"/>
      </c:valAx>
      <c:valAx>
        <c:axId val="1584465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58447683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Mean Incoming Trains KPIs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Mean</c:v>
          </c:tx>
          <c:spPr>
            <a:solidFill>
              <a:srgbClr val="2E86DE"/>
            </a:solidFill>
          </c:spPr>
          <c:invertIfNegative val="0"/>
          <c:dLbls>
            <c:numFmt formatCode="[h]:mm:ss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Overview!$A$11:$A$18</c:f>
              <c:strCache>
                <c:ptCount val="8"/>
                <c:pt idx="0">
                  <c:v>Entry Queue wait</c:v>
                </c:pt>
                <c:pt idx="1">
                  <c:v>Arrival drive duration</c:v>
                </c:pt>
                <c:pt idx="2">
                  <c:v>ITP wait</c:v>
                </c:pt>
                <c:pt idx="3">
                  <c:v>ITP duration</c:v>
                </c:pt>
                <c:pt idx="4">
                  <c:v>PushOff wait</c:v>
                </c:pt>
                <c:pt idx="5">
                  <c:v>PushOff duration</c:v>
                </c:pt>
                <c:pt idx="6">
                  <c:v>Total in arrival yard</c:v>
                </c:pt>
                <c:pt idx="7">
                  <c:v>Total in system</c:v>
                </c:pt>
              </c:strCache>
            </c:strRef>
          </c:cat>
          <c:val>
            <c:numRef>
              <c:f>Overview!$B$11:$B$18</c:f>
              <c:numCache>
                <c:formatCode>[h]:mm:ss</c:formatCode>
                <c:ptCount val="8"/>
                <c:pt idx="0">
                  <c:v>0</c:v>
                </c:pt>
                <c:pt idx="1">
                  <c:v>1.8381734018428735E-3</c:v>
                </c:pt>
                <c:pt idx="2">
                  <c:v>2.7828884067039564E-3</c:v>
                </c:pt>
                <c:pt idx="3">
                  <c:v>3.3919552672584843E-3</c:v>
                </c:pt>
                <c:pt idx="4">
                  <c:v>1.1553030304025629E-3</c:v>
                </c:pt>
                <c:pt idx="5">
                  <c:v>2.6145382395373995E-3</c:v>
                </c:pt>
                <c:pt idx="6">
                  <c:v>9.9446849439024029E-3</c:v>
                </c:pt>
                <c:pt idx="7">
                  <c:v>1.1782858345745276E-2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93-45F9-9995-45573A1BF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4468671"/>
        <c:axId val="1584475871"/>
      </c:barChart>
      <c:catAx>
        <c:axId val="158446867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584475871"/>
        <c:crosses val="autoZero"/>
        <c:auto val="1"/>
        <c:lblAlgn val="ctr"/>
        <c:lblOffset val="100"/>
        <c:noMultiLvlLbl val="0"/>
      </c:catAx>
      <c:valAx>
        <c:axId val="1584475871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Mean 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5844686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Mean Wagon Groups KPIs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Mean</c:v>
          </c:tx>
          <c:spPr>
            <a:solidFill>
              <a:srgbClr val="2E86DE"/>
            </a:solidFill>
          </c:spPr>
          <c:invertIfNegative val="0"/>
          <c:dLbls>
            <c:numFmt formatCode="[h]:mm:ss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Overview!$A$21:$A$23</c:f>
              <c:strCache>
                <c:ptCount val="3"/>
                <c:pt idx="0">
                  <c:v>Time in arrival yard</c:v>
                </c:pt>
                <c:pt idx="1">
                  <c:v>Time in classification yard</c:v>
                </c:pt>
                <c:pt idx="2">
                  <c:v>Idle time on classification track</c:v>
                </c:pt>
              </c:strCache>
            </c:strRef>
          </c:cat>
          <c:val>
            <c:numRef>
              <c:f>Overview!$B$21:$B$23</c:f>
              <c:numCache>
                <c:formatCode>[h]:mm:ss</c:formatCode>
                <c:ptCount val="3"/>
                <c:pt idx="0">
                  <c:v>9.676435184781439E-3</c:v>
                </c:pt>
                <c:pt idx="1">
                  <c:v>0.17209004157068972</c:v>
                </c:pt>
                <c:pt idx="2">
                  <c:v>0.13242106009182658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1F-46B8-AA5C-E246DF024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4466751"/>
        <c:axId val="1584476831"/>
      </c:barChart>
      <c:catAx>
        <c:axId val="158446675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584476831"/>
        <c:crosses val="autoZero"/>
        <c:auto val="1"/>
        <c:lblAlgn val="ctr"/>
        <c:lblOffset val="100"/>
        <c:noMultiLvlLbl val="0"/>
      </c:catAx>
      <c:valAx>
        <c:axId val="1584476831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Mean 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5844667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Mean Outbound Trains KPIs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Mean</c:v>
          </c:tx>
          <c:spPr>
            <a:solidFill>
              <a:srgbClr val="2E86DE"/>
            </a:solidFill>
          </c:spPr>
          <c:invertIfNegative val="0"/>
          <c:dLbls>
            <c:numFmt formatCode="[h]:mm:ss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Overview!$A$26:$A$30</c:f>
              <c:strCache>
                <c:ptCount val="5"/>
                <c:pt idx="0">
                  <c:v>OBTP wait</c:v>
                </c:pt>
                <c:pt idx="1">
                  <c:v>OBTP duration</c:v>
                </c:pt>
                <c:pt idx="2">
                  <c:v>DEPD gate wait</c:v>
                </c:pt>
                <c:pt idx="3">
                  <c:v>DEPD duration</c:v>
                </c:pt>
                <c:pt idx="4">
                  <c:v>Total on classification track</c:v>
                </c:pt>
              </c:strCache>
            </c:strRef>
          </c:cat>
          <c:val>
            <c:numRef>
              <c:f>Overview!$B$26:$B$30</c:f>
              <c:numCache>
                <c:formatCode>[h]:mm:ss</c:formatCode>
                <c:ptCount val="5"/>
                <c:pt idx="0">
                  <c:v>5.6267806280513285E-3</c:v>
                </c:pt>
                <c:pt idx="1">
                  <c:v>2.6958689458227197E-2</c:v>
                </c:pt>
                <c:pt idx="2">
                  <c:v>5.3122032300169128E-5</c:v>
                </c:pt>
                <c:pt idx="3">
                  <c:v>8.6078466157255788E-4</c:v>
                </c:pt>
                <c:pt idx="4">
                  <c:v>3.3499376780151253E-2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3D-4DEB-8EA2-016369C08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4469631"/>
        <c:axId val="1584470111"/>
      </c:barChart>
      <c:catAx>
        <c:axId val="158446963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584470111"/>
        <c:crosses val="autoZero"/>
        <c:auto val="1"/>
        <c:lblAlgn val="ctr"/>
        <c:lblOffset val="100"/>
        <c:noMultiLvlLbl val="0"/>
      </c:catAx>
      <c:valAx>
        <c:axId val="1584470111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Mean 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5844696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11</xdr:col>
      <xdr:colOff>622300</xdr:colOff>
      <xdr:row>32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F68F3-DCBF-6A81-6C06-7D7579805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0</xdr:row>
      <xdr:rowOff>127000</xdr:rowOff>
    </xdr:from>
    <xdr:to>
      <xdr:col>24</xdr:col>
      <xdr:colOff>76200</xdr:colOff>
      <xdr:row>32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8235CAB-844B-7096-D448-8ECD82A6E1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34</xdr:row>
      <xdr:rowOff>69850</xdr:rowOff>
    </xdr:from>
    <xdr:to>
      <xdr:col>11</xdr:col>
      <xdr:colOff>622300</xdr:colOff>
      <xdr:row>66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DD36E59-BF7F-8519-9EEA-D3238E7662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228600</xdr:colOff>
      <xdr:row>34</xdr:row>
      <xdr:rowOff>69850</xdr:rowOff>
    </xdr:from>
    <xdr:to>
      <xdr:col>24</xdr:col>
      <xdr:colOff>76200</xdr:colOff>
      <xdr:row>66</xdr:row>
      <xdr:rowOff>120650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6F0ED98-DF17-BFC6-CD60-8EDB8AB74B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68</xdr:row>
      <xdr:rowOff>12700</xdr:rowOff>
    </xdr:from>
    <xdr:to>
      <xdr:col>11</xdr:col>
      <xdr:colOff>622300</xdr:colOff>
      <xdr:row>100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1C7078-945C-387C-7ABD-CA7765C310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228600</xdr:colOff>
      <xdr:row>68</xdr:row>
      <xdr:rowOff>12700</xdr:rowOff>
    </xdr:from>
    <xdr:to>
      <xdr:col>24</xdr:col>
      <xdr:colOff>76200</xdr:colOff>
      <xdr:row>100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66AD4D2-A784-6E29-EE28-5D50B2276C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101</xdr:row>
      <xdr:rowOff>136525</xdr:rowOff>
    </xdr:from>
    <xdr:to>
      <xdr:col>11</xdr:col>
      <xdr:colOff>622300</xdr:colOff>
      <xdr:row>134</xdr:row>
      <xdr:rowOff>6350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F5E6B28-D426-7895-4EC6-7EC18C74C4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228600</xdr:colOff>
      <xdr:row>101</xdr:row>
      <xdr:rowOff>136525</xdr:rowOff>
    </xdr:from>
    <xdr:to>
      <xdr:col>24</xdr:col>
      <xdr:colOff>76200</xdr:colOff>
      <xdr:row>134</xdr:row>
      <xdr:rowOff>6350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5008975-BFE4-DB4F-0FC4-A1ABE59D1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136</xdr:row>
      <xdr:rowOff>152400</xdr:rowOff>
    </xdr:from>
    <xdr:to>
      <xdr:col>17</xdr:col>
      <xdr:colOff>546100</xdr:colOff>
      <xdr:row>173</xdr:row>
      <xdr:rowOff>60325</xdr:rowOff>
    </xdr:to>
    <xdr:graphicFrame macro="">
      <xdr:nvGraphicFramePr>
        <xdr:cNvPr id="10" name="DriveLenVsDur">
          <a:extLst>
            <a:ext uri="{FF2B5EF4-FFF2-40B4-BE49-F238E27FC236}">
              <a16:creationId xmlns:a16="http://schemas.microsoft.com/office/drawing/2014/main" id="{67642A11-9DB8-18C5-ACCC-8F7E03C19E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127000</xdr:colOff>
      <xdr:row>176</xdr:row>
      <xdr:rowOff>152400</xdr:rowOff>
    </xdr:from>
    <xdr:to>
      <xdr:col>11</xdr:col>
      <xdr:colOff>622300</xdr:colOff>
      <xdr:row>204</xdr:row>
      <xdr:rowOff>165100</xdr:rowOff>
    </xdr:to>
    <xdr:graphicFrame macro="">
      <xdr:nvGraphicFramePr>
        <xdr:cNvPr id="11" name="KPIIncoming">
          <a:extLst>
            <a:ext uri="{FF2B5EF4-FFF2-40B4-BE49-F238E27FC236}">
              <a16:creationId xmlns:a16="http://schemas.microsoft.com/office/drawing/2014/main" id="{6B1B766B-DE10-0542-CA00-D63E87B63F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228600</xdr:colOff>
      <xdr:row>176</xdr:row>
      <xdr:rowOff>152400</xdr:rowOff>
    </xdr:from>
    <xdr:to>
      <xdr:col>24</xdr:col>
      <xdr:colOff>76200</xdr:colOff>
      <xdr:row>204</xdr:row>
      <xdr:rowOff>165100</xdr:rowOff>
    </xdr:to>
    <xdr:graphicFrame macro="">
      <xdr:nvGraphicFramePr>
        <xdr:cNvPr id="12" name="KPIWagonGroups">
          <a:extLst>
            <a:ext uri="{FF2B5EF4-FFF2-40B4-BE49-F238E27FC236}">
              <a16:creationId xmlns:a16="http://schemas.microsoft.com/office/drawing/2014/main" id="{31CC5086-8632-A23A-E22C-525DAF6716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127000</xdr:colOff>
      <xdr:row>206</xdr:row>
      <xdr:rowOff>57150</xdr:rowOff>
    </xdr:from>
    <xdr:to>
      <xdr:col>11</xdr:col>
      <xdr:colOff>622300</xdr:colOff>
      <xdr:row>234</xdr:row>
      <xdr:rowOff>69850</xdr:rowOff>
    </xdr:to>
    <xdr:graphicFrame macro="">
      <xdr:nvGraphicFramePr>
        <xdr:cNvPr id="13" name="KPIOutbound">
          <a:extLst>
            <a:ext uri="{FF2B5EF4-FFF2-40B4-BE49-F238E27FC236}">
              <a16:creationId xmlns:a16="http://schemas.microsoft.com/office/drawing/2014/main" id="{3362023C-4C50-6B08-880A-A562A0E00C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6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3" width="8.19921875" customWidth="1"/>
  </cols>
  <sheetData>
    <row r="1" spans="1:3" ht="45" customHeight="1" x14ac:dyDescent="0.45">
      <c r="A1" s="1" t="s">
        <v>0</v>
      </c>
      <c r="B1" s="1" t="s">
        <v>1</v>
      </c>
      <c r="C1" s="1" t="s">
        <v>2</v>
      </c>
    </row>
    <row r="2" spans="1:3" x14ac:dyDescent="0.45">
      <c r="A2" s="2" t="s">
        <v>3</v>
      </c>
      <c r="B2" s="2"/>
      <c r="C2" s="2"/>
    </row>
    <row r="3" spans="1:3" x14ac:dyDescent="0.45">
      <c r="A3" s="3" t="s">
        <v>4</v>
      </c>
      <c r="B3" s="3" t="s">
        <v>5</v>
      </c>
      <c r="C3" s="3" t="s">
        <v>6</v>
      </c>
    </row>
    <row r="4" spans="1:3" x14ac:dyDescent="0.45">
      <c r="A4" s="3" t="s">
        <v>7</v>
      </c>
      <c r="B4" s="3" t="s">
        <v>8</v>
      </c>
      <c r="C4" s="3" t="s">
        <v>9</v>
      </c>
    </row>
    <row r="5" spans="1:3" x14ac:dyDescent="0.45">
      <c r="A5" s="3" t="s">
        <v>10</v>
      </c>
      <c r="B5" s="3" t="s">
        <v>11</v>
      </c>
      <c r="C5" s="3" t="s">
        <v>12</v>
      </c>
    </row>
    <row r="6" spans="1:3" x14ac:dyDescent="0.45">
      <c r="A6" s="3" t="s">
        <v>13</v>
      </c>
      <c r="B6" s="3" t="s">
        <v>14</v>
      </c>
      <c r="C6" s="3" t="s">
        <v>15</v>
      </c>
    </row>
    <row r="7" spans="1:3" x14ac:dyDescent="0.45">
      <c r="A7" s="3" t="s">
        <v>16</v>
      </c>
      <c r="B7" s="3" t="s">
        <v>17</v>
      </c>
      <c r="C7" s="3" t="s">
        <v>18</v>
      </c>
    </row>
    <row r="8" spans="1:3" x14ac:dyDescent="0.45">
      <c r="A8" s="3" t="s">
        <v>19</v>
      </c>
      <c r="B8" s="3" t="s">
        <v>20</v>
      </c>
      <c r="C8" s="3" t="s">
        <v>21</v>
      </c>
    </row>
    <row r="9" spans="1:3" x14ac:dyDescent="0.45">
      <c r="A9" s="2" t="s">
        <v>22</v>
      </c>
      <c r="B9" s="2"/>
      <c r="C9" s="2"/>
    </row>
    <row r="10" spans="1:3" x14ac:dyDescent="0.45">
      <c r="A10" s="3" t="s">
        <v>23</v>
      </c>
      <c r="B10" s="3" t="s">
        <v>24</v>
      </c>
      <c r="C10" s="3" t="s">
        <v>25</v>
      </c>
    </row>
    <row r="11" spans="1:3" x14ac:dyDescent="0.45">
      <c r="A11" s="3" t="s">
        <v>26</v>
      </c>
      <c r="B11" s="3" t="s">
        <v>27</v>
      </c>
      <c r="C11" s="3" t="s">
        <v>28</v>
      </c>
    </row>
    <row r="12" spans="1:3" x14ac:dyDescent="0.45">
      <c r="A12" s="3" t="s">
        <v>29</v>
      </c>
      <c r="B12" s="3" t="s">
        <v>30</v>
      </c>
      <c r="C12" s="3" t="s">
        <v>31</v>
      </c>
    </row>
    <row r="13" spans="1:3" x14ac:dyDescent="0.45">
      <c r="A13" s="3" t="s">
        <v>32</v>
      </c>
      <c r="B13" s="3" t="s">
        <v>33</v>
      </c>
      <c r="C13" s="3" t="s">
        <v>34</v>
      </c>
    </row>
    <row r="14" spans="1:3" x14ac:dyDescent="0.45">
      <c r="A14" s="3" t="s">
        <v>35</v>
      </c>
      <c r="B14" s="3" t="s">
        <v>36</v>
      </c>
      <c r="C14" s="3" t="s">
        <v>37</v>
      </c>
    </row>
    <row r="15" spans="1:3" x14ac:dyDescent="0.45">
      <c r="A15" s="3" t="s">
        <v>38</v>
      </c>
      <c r="B15" s="3" t="s">
        <v>39</v>
      </c>
      <c r="C15" s="3" t="s">
        <v>40</v>
      </c>
    </row>
    <row r="16" spans="1:3" x14ac:dyDescent="0.45">
      <c r="A16" s="3" t="s">
        <v>41</v>
      </c>
      <c r="B16" s="3" t="s">
        <v>42</v>
      </c>
      <c r="C16" s="3" t="s">
        <v>43</v>
      </c>
    </row>
    <row r="17" spans="1:3" x14ac:dyDescent="0.45">
      <c r="A17" s="3" t="s">
        <v>44</v>
      </c>
      <c r="B17" s="3" t="s">
        <v>45</v>
      </c>
      <c r="C17" s="3" t="s">
        <v>46</v>
      </c>
    </row>
    <row r="18" spans="1:3" x14ac:dyDescent="0.45">
      <c r="A18" s="2" t="s">
        <v>47</v>
      </c>
      <c r="B18" s="2"/>
      <c r="C18" s="2"/>
    </row>
    <row r="19" spans="1:3" x14ac:dyDescent="0.45">
      <c r="A19" s="3" t="s">
        <v>48</v>
      </c>
      <c r="B19" s="3" t="s">
        <v>49</v>
      </c>
      <c r="C19" s="3" t="s">
        <v>50</v>
      </c>
    </row>
    <row r="20" spans="1:3" x14ac:dyDescent="0.45">
      <c r="A20" s="3" t="s">
        <v>51</v>
      </c>
      <c r="B20" s="3" t="s">
        <v>52</v>
      </c>
      <c r="C20" s="3" t="s">
        <v>53</v>
      </c>
    </row>
    <row r="21" spans="1:3" x14ac:dyDescent="0.45">
      <c r="A21" s="3" t="s">
        <v>54</v>
      </c>
      <c r="B21" s="3" t="s">
        <v>55</v>
      </c>
      <c r="C21" s="3" t="s">
        <v>56</v>
      </c>
    </row>
    <row r="22" spans="1:3" x14ac:dyDescent="0.45">
      <c r="A22" s="3" t="s">
        <v>57</v>
      </c>
      <c r="B22" s="3" t="s">
        <v>58</v>
      </c>
      <c r="C22" s="3" t="s">
        <v>59</v>
      </c>
    </row>
    <row r="23" spans="1:3" x14ac:dyDescent="0.45">
      <c r="A23" s="2" t="s">
        <v>60</v>
      </c>
      <c r="B23" s="2"/>
      <c r="C23" s="2"/>
    </row>
    <row r="24" spans="1:3" x14ac:dyDescent="0.45">
      <c r="A24" s="3" t="s">
        <v>61</v>
      </c>
      <c r="B24" s="3" t="s">
        <v>62</v>
      </c>
      <c r="C24" s="3" t="s">
        <v>63</v>
      </c>
    </row>
    <row r="25" spans="1:3" x14ac:dyDescent="0.45">
      <c r="A25" s="3" t="s">
        <v>64</v>
      </c>
      <c r="B25" s="3" t="s">
        <v>65</v>
      </c>
      <c r="C25" s="3" t="s">
        <v>66</v>
      </c>
    </row>
    <row r="26" spans="1:3" x14ac:dyDescent="0.45">
      <c r="A26" s="3" t="s">
        <v>67</v>
      </c>
      <c r="B26" s="3" t="s">
        <v>68</v>
      </c>
      <c r="C26" s="3" t="s">
        <v>69</v>
      </c>
    </row>
    <row r="27" spans="1:3" x14ac:dyDescent="0.45">
      <c r="A27" s="3" t="s">
        <v>70</v>
      </c>
      <c r="B27" s="3" t="s">
        <v>71</v>
      </c>
      <c r="C27" s="3" t="s">
        <v>72</v>
      </c>
    </row>
    <row r="28" spans="1:3" x14ac:dyDescent="0.45">
      <c r="A28" s="3" t="s">
        <v>73</v>
      </c>
      <c r="B28" s="3" t="s">
        <v>74</v>
      </c>
      <c r="C28" s="3" t="s">
        <v>75</v>
      </c>
    </row>
    <row r="29" spans="1:3" x14ac:dyDescent="0.45">
      <c r="A29" s="2" t="s">
        <v>76</v>
      </c>
      <c r="B29" s="2"/>
      <c r="C29" s="2"/>
    </row>
    <row r="30" spans="1:3" x14ac:dyDescent="0.45">
      <c r="A30" s="3" t="s">
        <v>77</v>
      </c>
      <c r="B30" s="3" t="s">
        <v>78</v>
      </c>
      <c r="C30" s="3" t="s">
        <v>79</v>
      </c>
    </row>
    <row r="31" spans="1:3" x14ac:dyDescent="0.45">
      <c r="A31" s="3" t="s">
        <v>80</v>
      </c>
      <c r="B31" s="3" t="s">
        <v>81</v>
      </c>
      <c r="C31" s="3" t="s">
        <v>82</v>
      </c>
    </row>
    <row r="32" spans="1:3" x14ac:dyDescent="0.45">
      <c r="A32" s="3" t="s">
        <v>83</v>
      </c>
      <c r="B32" s="3" t="s">
        <v>84</v>
      </c>
      <c r="C32" s="3" t="s">
        <v>85</v>
      </c>
    </row>
    <row r="33" spans="1:3" x14ac:dyDescent="0.45">
      <c r="A33" s="2" t="s">
        <v>86</v>
      </c>
      <c r="B33" s="2"/>
      <c r="C33" s="2"/>
    </row>
    <row r="34" spans="1:3" x14ac:dyDescent="0.45">
      <c r="A34" s="3" t="s">
        <v>87</v>
      </c>
      <c r="B34" s="3" t="s">
        <v>88</v>
      </c>
      <c r="C34" s="3" t="s">
        <v>89</v>
      </c>
    </row>
    <row r="35" spans="1:3" x14ac:dyDescent="0.45">
      <c r="A35" s="2" t="s">
        <v>90</v>
      </c>
      <c r="B35" s="2"/>
      <c r="C35" s="2"/>
    </row>
    <row r="36" spans="1:3" x14ac:dyDescent="0.45">
      <c r="A36" s="3" t="s">
        <v>91</v>
      </c>
      <c r="B36" s="3" t="s">
        <v>92</v>
      </c>
      <c r="C36" s="3" t="s">
        <v>93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0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4" customWidth="1"/>
    <col min="2" max="5" width="14" customWidth="1"/>
  </cols>
  <sheetData>
    <row r="1" spans="1:5" ht="17.649999999999999" x14ac:dyDescent="0.5">
      <c r="A1" s="4" t="s">
        <v>94</v>
      </c>
    </row>
    <row r="3" spans="1:5" x14ac:dyDescent="0.45">
      <c r="A3" s="5" t="s">
        <v>95</v>
      </c>
      <c r="B3" s="5" t="s">
        <v>96</v>
      </c>
    </row>
    <row r="4" spans="1:5" x14ac:dyDescent="0.45">
      <c r="A4" s="6" t="s">
        <v>97</v>
      </c>
      <c r="B4" s="7">
        <f>COUNTA('Incoming Trains'!A:A)-1</f>
        <v>77</v>
      </c>
    </row>
    <row r="5" spans="1:5" x14ac:dyDescent="0.45">
      <c r="A5" s="6" t="s">
        <v>98</v>
      </c>
      <c r="B5" s="7">
        <f>COUNTA('Outbound Trains'!A:A)-1</f>
        <v>78</v>
      </c>
    </row>
    <row r="6" spans="1:5" x14ac:dyDescent="0.45">
      <c r="A6" s="6" t="s">
        <v>99</v>
      </c>
      <c r="B6" s="7">
        <f>COUNTA('Wagon Groups'!A:A)-1</f>
        <v>250</v>
      </c>
    </row>
    <row r="7" spans="1:5" x14ac:dyDescent="0.45">
      <c r="A7" s="6" t="s">
        <v>100</v>
      </c>
      <c r="B7" s="7">
        <f>COUNTA('Activities (raw)'!A:A)-1</f>
        <v>803</v>
      </c>
    </row>
    <row r="8" spans="1:5" x14ac:dyDescent="0.45">
      <c r="A8" s="6" t="s">
        <v>101</v>
      </c>
      <c r="B8" s="8">
        <v>6.7877777777777766</v>
      </c>
    </row>
    <row r="10" spans="1:5" x14ac:dyDescent="0.45">
      <c r="A10" s="5" t="s">
        <v>102</v>
      </c>
      <c r="B10" s="5" t="s">
        <v>103</v>
      </c>
      <c r="C10" s="5" t="s">
        <v>104</v>
      </c>
      <c r="D10" s="5" t="s">
        <v>105</v>
      </c>
      <c r="E10" s="5" t="s">
        <v>106</v>
      </c>
    </row>
    <row r="11" spans="1:5" x14ac:dyDescent="0.45">
      <c r="A11" s="6" t="s">
        <v>107</v>
      </c>
      <c r="B11" s="8">
        <f>IFERROR(AVERAGE('Incoming Trains'!M:M),0)</f>
        <v>0</v>
      </c>
      <c r="C11" s="8">
        <f>IFERROR(MIN('Incoming Trains'!M:M),0)</f>
        <v>0</v>
      </c>
      <c r="D11" s="8">
        <f>IFERROR(MAX('Incoming Trains'!M:M),0)</f>
        <v>0</v>
      </c>
      <c r="E11" s="8">
        <f>IFERROR(MEDIAN('Incoming Trains'!M:M),0)</f>
        <v>0</v>
      </c>
    </row>
    <row r="12" spans="1:5" x14ac:dyDescent="0.45">
      <c r="A12" s="6" t="s">
        <v>108</v>
      </c>
      <c r="B12" s="8">
        <f>IFERROR(AVERAGE('Incoming Trains'!N:N),0)</f>
        <v>1.8381734018428735E-3</v>
      </c>
      <c r="C12" s="8">
        <f>IFERROR(MIN('Incoming Trains'!N:N),0)</f>
        <v>1.1226851856918074E-3</v>
      </c>
      <c r="D12" s="8">
        <f>IFERROR(MAX('Incoming Trains'!N:N),0)</f>
        <v>2.2916666566743515E-3</v>
      </c>
      <c r="E12" s="8">
        <f>IFERROR(MEDIAN('Incoming Trains'!N:N),0)</f>
        <v>1.8865740712499246E-3</v>
      </c>
    </row>
    <row r="13" spans="1:5" x14ac:dyDescent="0.45">
      <c r="A13" s="6" t="s">
        <v>109</v>
      </c>
      <c r="B13" s="8">
        <f>IFERROR(AVERAGE('Incoming Trains'!O:O),0)</f>
        <v>2.7828884067039564E-3</v>
      </c>
      <c r="C13" s="8">
        <f>IFERROR(MIN('Incoming Trains'!O:O),0)</f>
        <v>2.77777776500443E-3</v>
      </c>
      <c r="D13" s="8">
        <f>IFERROR(MAX('Incoming Trains'!O:O),0)</f>
        <v>3.1712962882011198E-3</v>
      </c>
      <c r="E13" s="8">
        <f>IFERROR(MEDIAN('Incoming Trains'!O:O),0)</f>
        <v>2.7777777795563452E-3</v>
      </c>
    </row>
    <row r="14" spans="1:5" x14ac:dyDescent="0.45">
      <c r="A14" s="6" t="s">
        <v>110</v>
      </c>
      <c r="B14" s="8">
        <f>IFERROR(AVERAGE('Incoming Trains'!P:P),0)</f>
        <v>3.3919552672584843E-3</v>
      </c>
      <c r="C14" s="8">
        <f>IFERROR(MIN('Incoming Trains'!P:P),0)</f>
        <v>8.3333332440815866E-4</v>
      </c>
      <c r="D14" s="8">
        <f>IFERROR(MAX('Incoming Trains'!P:P),0)</f>
        <v>9.6527777786832303E-3</v>
      </c>
      <c r="E14" s="8">
        <f>IFERROR(MEDIAN('Incoming Trains'!P:P),0)</f>
        <v>2.5810185252339579E-3</v>
      </c>
    </row>
    <row r="15" spans="1:5" x14ac:dyDescent="0.45">
      <c r="A15" s="6" t="s">
        <v>111</v>
      </c>
      <c r="B15" s="8">
        <f>IFERROR(AVERAGE('Incoming Trains'!Q:Q),0)</f>
        <v>1.1553030304025629E-3</v>
      </c>
      <c r="C15" s="8">
        <f>IFERROR(MIN('Incoming Trains'!Q:Q),0)</f>
        <v>7.2916667704703286E-4</v>
      </c>
      <c r="D15" s="8">
        <f>IFERROR(MAX('Incoming Trains'!Q:Q),0)</f>
        <v>5.3124999903957359E-3</v>
      </c>
      <c r="E15" s="8">
        <f>IFERROR(MEDIAN('Incoming Trains'!Q:Q),0)</f>
        <v>8.6805556202307343E-4</v>
      </c>
    </row>
    <row r="16" spans="1:5" x14ac:dyDescent="0.45">
      <c r="A16" s="6" t="s">
        <v>112</v>
      </c>
      <c r="B16" s="8">
        <f>IFERROR(AVERAGE('Incoming Trains'!R:R),0)</f>
        <v>2.6145382395373995E-3</v>
      </c>
      <c r="C16" s="8">
        <f>IFERROR(MIN('Incoming Trains'!R:R),0)</f>
        <v>9.7222222393611446E-4</v>
      </c>
      <c r="D16" s="8">
        <f>IFERROR(MAX('Incoming Trains'!R:R),0)</f>
        <v>5.3472222207346931E-3</v>
      </c>
      <c r="E16" s="8">
        <f>IFERROR(MEDIAN('Incoming Trains'!R:R),0)</f>
        <v>2.5810185179580003E-3</v>
      </c>
    </row>
    <row r="17" spans="1:5" x14ac:dyDescent="0.45">
      <c r="A17" s="6" t="s">
        <v>113</v>
      </c>
      <c r="B17" s="8">
        <f>IFERROR(AVERAGE('Incoming Trains'!S:S),0)</f>
        <v>9.9446849439024029E-3</v>
      </c>
      <c r="C17" s="8">
        <f>IFERROR(MIN('Incoming Trains'!S:S),0)</f>
        <v>6.0069444443797693E-3</v>
      </c>
      <c r="D17" s="8">
        <f>IFERROR(MAX('Incoming Trains'!S:S),0)</f>
        <v>1.8993055549799465E-2</v>
      </c>
      <c r="E17" s="8">
        <f>IFERROR(MEDIAN('Incoming Trains'!S:S),0)</f>
        <v>9.1435185240698047E-3</v>
      </c>
    </row>
    <row r="18" spans="1:5" x14ac:dyDescent="0.45">
      <c r="A18" s="6" t="s">
        <v>114</v>
      </c>
      <c r="B18" s="8">
        <f>IFERROR(AVERAGE('Incoming Trains'!T:T),0)</f>
        <v>1.1782858345745276E-2</v>
      </c>
      <c r="C18" s="8">
        <f>IFERROR(MIN('Incoming Trains'!T:T),0)</f>
        <v>7.5462962849996984E-3</v>
      </c>
      <c r="D18" s="8">
        <f>IFERROR(MAX('Incoming Trains'!T:T),0)</f>
        <v>2.1099537043482997E-2</v>
      </c>
      <c r="E18" s="8">
        <f>IFERROR(MEDIAN('Incoming Trains'!T:T),0)</f>
        <v>1.118055556435138E-2</v>
      </c>
    </row>
    <row r="20" spans="1:5" x14ac:dyDescent="0.45">
      <c r="A20" s="5" t="s">
        <v>115</v>
      </c>
      <c r="B20" s="5" t="s">
        <v>103</v>
      </c>
      <c r="C20" s="5" t="s">
        <v>104</v>
      </c>
      <c r="D20" s="5" t="s">
        <v>105</v>
      </c>
      <c r="E20" s="5" t="s">
        <v>106</v>
      </c>
    </row>
    <row r="21" spans="1:5" x14ac:dyDescent="0.45">
      <c r="A21" s="6" t="s">
        <v>116</v>
      </c>
      <c r="B21" s="8">
        <f>IFERROR(AVERAGE('Wagon Groups'!M:M),0)</f>
        <v>9.676435184781439E-3</v>
      </c>
      <c r="C21" s="8">
        <f>IFERROR(MIN('Wagon Groups'!M:M),0)</f>
        <v>5.4513888899236917E-3</v>
      </c>
      <c r="D21" s="8">
        <f>IFERROR(MAX('Wagon Groups'!M:M),0)</f>
        <v>1.8993055549799465E-2</v>
      </c>
      <c r="E21" s="8">
        <f>IFERROR(MEDIAN('Wagon Groups'!M:M),0)</f>
        <v>8.9930555550381541E-3</v>
      </c>
    </row>
    <row r="22" spans="1:5" x14ac:dyDescent="0.45">
      <c r="A22" s="6" t="s">
        <v>117</v>
      </c>
      <c r="B22" s="8">
        <f>IFERROR(AVERAGE('Wagon Groups'!N:N),0)</f>
        <v>0.17209004157068972</v>
      </c>
      <c r="C22" s="8">
        <f>IFERROR(MIN('Wagon Groups'!N:N),0)</f>
        <v>2.9212962959718425E-2</v>
      </c>
      <c r="D22" s="8">
        <f>IFERROR(MAX('Wagon Groups'!N:N),0)</f>
        <v>2.1240162037065602</v>
      </c>
      <c r="E22" s="8">
        <f>IFERROR(MEDIAN('Wagon Groups'!N:N),0)</f>
        <v>5.7800925918854773E-2</v>
      </c>
    </row>
    <row r="23" spans="1:5" x14ac:dyDescent="0.45">
      <c r="A23" s="6" t="s">
        <v>118</v>
      </c>
      <c r="B23" s="8">
        <f>IFERROR(AVERAGE('Wagon Groups'!P:P),0)</f>
        <v>0.13242106009182658</v>
      </c>
      <c r="C23" s="8">
        <f>IFERROR(MIN('Wagon Groups'!P:P),0)</f>
        <v>7.8703703184146434E-4</v>
      </c>
      <c r="D23" s="8">
        <f>IFERROR(MAX('Wagon Groups'!P:P),0)</f>
        <v>2.0969907407416031</v>
      </c>
      <c r="E23" s="8">
        <f>IFERROR(MEDIAN('Wagon Groups'!P:P),0)</f>
        <v>9.5138888937071897E-3</v>
      </c>
    </row>
    <row r="25" spans="1:5" x14ac:dyDescent="0.45">
      <c r="A25" s="5" t="s">
        <v>119</v>
      </c>
      <c r="B25" s="5" t="s">
        <v>103</v>
      </c>
      <c r="C25" s="5" t="s">
        <v>104</v>
      </c>
      <c r="D25" s="5" t="s">
        <v>105</v>
      </c>
      <c r="E25" s="5" t="s">
        <v>106</v>
      </c>
    </row>
    <row r="26" spans="1:5" x14ac:dyDescent="0.45">
      <c r="A26" s="6" t="s">
        <v>120</v>
      </c>
      <c r="B26" s="8">
        <f>IFERROR(AVERAGE('Outbound Trains'!K:K),0)</f>
        <v>5.6267806280513285E-3</v>
      </c>
      <c r="C26" s="8">
        <f>IFERROR(MIN('Outbound Trains'!K:K),0)</f>
        <v>7.8703703184146434E-4</v>
      </c>
      <c r="D26" s="8">
        <f>IFERROR(MAX('Outbound Trains'!K:K),0)</f>
        <v>3.7870370375458151E-2</v>
      </c>
      <c r="E26" s="8">
        <f>IFERROR(MEDIAN('Outbound Trains'!K:K),0)</f>
        <v>8.6805556929903105E-4</v>
      </c>
    </row>
    <row r="27" spans="1:5" x14ac:dyDescent="0.45">
      <c r="A27" s="6" t="s">
        <v>121</v>
      </c>
      <c r="B27" s="8">
        <f>IFERROR(AVERAGE('Outbound Trains'!L:L),0)</f>
        <v>2.6958689458227197E-2</v>
      </c>
      <c r="C27" s="8">
        <f>IFERROR(MIN('Outbound Trains'!L:L),0)</f>
        <v>1.9444444435066544E-2</v>
      </c>
      <c r="D27" s="8">
        <f>IFERROR(MAX('Outbound Trains'!L:L),0)</f>
        <v>5.2777777775190771E-2</v>
      </c>
      <c r="E27" s="8">
        <f>IFERROR(MEDIAN('Outbound Trains'!L:L),0)</f>
        <v>2.5000000001455192E-2</v>
      </c>
    </row>
    <row r="28" spans="1:5" x14ac:dyDescent="0.45">
      <c r="A28" s="6" t="s">
        <v>122</v>
      </c>
      <c r="B28" s="8">
        <f>IFERROR(AVERAGE('Outbound Trains'!M:M),0)</f>
        <v>5.3122032300169128E-5</v>
      </c>
      <c r="C28" s="8">
        <f>IFERROR(MIN('Outbound Trains'!M:M),0)</f>
        <v>0</v>
      </c>
      <c r="D28" s="8">
        <f>IFERROR(MAX('Outbound Trains'!M:M),0)</f>
        <v>1.4583333249902353E-3</v>
      </c>
      <c r="E28" s="8">
        <f>IFERROR(MEDIAN('Outbound Trains'!M:M),0)</f>
        <v>0</v>
      </c>
    </row>
    <row r="29" spans="1:5" x14ac:dyDescent="0.45">
      <c r="A29" s="6" t="s">
        <v>123</v>
      </c>
      <c r="B29" s="8">
        <f>IFERROR(AVERAGE('Outbound Trains'!N:N),0)</f>
        <v>8.6078466157255788E-4</v>
      </c>
      <c r="C29" s="8">
        <f>IFERROR(MIN('Outbound Trains'!N:N),0)</f>
        <v>6.5972222364507616E-4</v>
      </c>
      <c r="D29" s="8">
        <f>IFERROR(MAX('Outbound Trains'!N:N),0)</f>
        <v>1.1458333319751546E-3</v>
      </c>
      <c r="E29" s="8">
        <f>IFERROR(MEDIAN('Outbound Trains'!N:N),0)</f>
        <v>8.738425858609844E-4</v>
      </c>
    </row>
    <row r="30" spans="1:5" x14ac:dyDescent="0.45">
      <c r="A30" s="6" t="s">
        <v>124</v>
      </c>
      <c r="B30" s="8">
        <f>IFERROR(AVERAGE('Outbound Trains'!O:O),0)</f>
        <v>3.3499376780151253E-2</v>
      </c>
      <c r="C30" s="8">
        <f>IFERROR(MIN('Outbound Trains'!O:O),0)</f>
        <v>2.0891203705104999E-2</v>
      </c>
      <c r="D30" s="8">
        <f>IFERROR(MAX('Outbound Trains'!O:O),0)</f>
        <v>6.6562500003783498E-2</v>
      </c>
      <c r="E30" s="8">
        <f>IFERROR(MEDIAN('Outbound Trains'!O:O),0)</f>
        <v>3.1400462958117714E-2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8"/>
  <sheetViews>
    <sheetView workbookViewId="0">
      <pane xSplit="3" ySplit="1" topLeftCell="D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3" width="8.19921875" customWidth="1"/>
    <col min="4" max="12" width="19" customWidth="1"/>
    <col min="13" max="20" width="8.19921875" customWidth="1"/>
  </cols>
  <sheetData>
    <row r="1" spans="1:20" ht="45" customHeight="1" x14ac:dyDescent="0.45">
      <c r="A1" s="1" t="s">
        <v>125</v>
      </c>
      <c r="B1" s="1" t="s">
        <v>126</v>
      </c>
      <c r="C1" s="1" t="s">
        <v>127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133</v>
      </c>
      <c r="J1" s="1" t="s">
        <v>134</v>
      </c>
      <c r="K1" s="1" t="s">
        <v>135</v>
      </c>
      <c r="L1" s="1" t="s">
        <v>136</v>
      </c>
      <c r="M1" s="1" t="s">
        <v>23</v>
      </c>
      <c r="N1" s="1" t="s">
        <v>137</v>
      </c>
      <c r="O1" s="1" t="s">
        <v>29</v>
      </c>
      <c r="P1" s="1" t="s">
        <v>32</v>
      </c>
      <c r="Q1" s="1" t="s">
        <v>35</v>
      </c>
      <c r="R1" s="1" t="s">
        <v>38</v>
      </c>
      <c r="S1" s="1" t="s">
        <v>41</v>
      </c>
      <c r="T1" s="1" t="s">
        <v>44</v>
      </c>
    </row>
    <row r="2" spans="1:20" x14ac:dyDescent="0.45">
      <c r="A2" s="3" t="s">
        <v>138</v>
      </c>
      <c r="B2" s="9">
        <v>224</v>
      </c>
      <c r="C2" s="3" t="s">
        <v>139</v>
      </c>
      <c r="D2" s="10">
        <v>45663.208333333343</v>
      </c>
      <c r="E2" s="10">
        <v>45663.208333333343</v>
      </c>
      <c r="F2" s="10">
        <v>45663.210439814808</v>
      </c>
      <c r="G2" s="10">
        <v>45663.210439814808</v>
      </c>
      <c r="H2" s="10">
        <v>45663.213217592587</v>
      </c>
      <c r="I2" s="10">
        <v>45663.219652777778</v>
      </c>
      <c r="J2" s="10">
        <v>45663.219652777778</v>
      </c>
      <c r="K2" s="10">
        <v>45663.222245370373</v>
      </c>
      <c r="L2" s="10">
        <v>45663.226469907408</v>
      </c>
      <c r="M2" s="11">
        <f t="shared" ref="M2:M33" si="0">IF(AND(ISNUMBER(D2),ISNUMBER(E2)),(E2-D2),"")</f>
        <v>0</v>
      </c>
      <c r="N2" s="11">
        <f t="shared" ref="N2:N33" si="1">IF(AND(ISNUMBER(E2),ISNUMBER(F2)),(F2-E2),"")</f>
        <v>2.1064814645797014E-3</v>
      </c>
      <c r="O2" s="11">
        <f t="shared" ref="O2:O33" si="2">IF(AND(ISNUMBER(G2),ISNUMBER(H2)),(H2-G2),"")</f>
        <v>2.7777777795563452E-3</v>
      </c>
      <c r="P2" s="11">
        <f t="shared" ref="P2:P33" si="3">IF(AND(ISNUMBER(H2),ISNUMBER(I2)),(I2-H2),"")</f>
        <v>6.4351851906394586E-3</v>
      </c>
      <c r="Q2" s="11">
        <f t="shared" ref="Q2:Q33" si="4">IF(AND(ISNUMBER(J2),ISNUMBER(K2)),(K2-J2),"")</f>
        <v>2.5925925947376527E-3</v>
      </c>
      <c r="R2" s="11">
        <f t="shared" ref="R2:R33" si="5">IF(AND(ISNUMBER(K2),ISNUMBER(L2)),(L2-K2),"")</f>
        <v>4.2245370350428857E-3</v>
      </c>
      <c r="S2" s="11">
        <f t="shared" ref="S2:S33" si="6">IF(AND(ISNUMBER(F2),ISNUMBER(L2)),(L2-F2),"")</f>
        <v>1.6030092599976342E-2</v>
      </c>
      <c r="T2" s="11">
        <f t="shared" ref="T2:T33" si="7">IF(AND(ISNUMBER(D2),ISNUMBER(L2)),(L2-D2),"")</f>
        <v>1.8136574064556044E-2</v>
      </c>
    </row>
    <row r="3" spans="1:20" x14ac:dyDescent="0.45">
      <c r="A3" s="3" t="s">
        <v>140</v>
      </c>
      <c r="B3" s="9">
        <v>208</v>
      </c>
      <c r="C3" s="3" t="s">
        <v>141</v>
      </c>
      <c r="D3" s="10">
        <v>45663.208333333343</v>
      </c>
      <c r="E3" s="10">
        <v>45663.208333333343</v>
      </c>
      <c r="F3" s="10">
        <v>45663.209965277783</v>
      </c>
      <c r="G3" s="10">
        <v>45663.209965277783</v>
      </c>
      <c r="H3" s="10">
        <v>45663.212743055563</v>
      </c>
      <c r="I3" s="10">
        <v>45663.21775462963</v>
      </c>
      <c r="J3" s="10">
        <v>45663.21775462963</v>
      </c>
      <c r="K3" s="10">
        <v>45663.218622685177</v>
      </c>
      <c r="L3" s="10">
        <v>45663.221365740741</v>
      </c>
      <c r="M3" s="11">
        <f t="shared" si="0"/>
        <v>0</v>
      </c>
      <c r="N3" s="11">
        <f t="shared" si="1"/>
        <v>1.631944440305233E-3</v>
      </c>
      <c r="O3" s="11">
        <f t="shared" si="2"/>
        <v>2.7777777795563452E-3</v>
      </c>
      <c r="P3" s="11">
        <f t="shared" si="3"/>
        <v>5.01157406688435E-3</v>
      </c>
      <c r="Q3" s="11">
        <f t="shared" si="4"/>
        <v>8.6805554747115821E-4</v>
      </c>
      <c r="R3" s="11">
        <f t="shared" si="5"/>
        <v>2.7430555637693033E-3</v>
      </c>
      <c r="S3" s="11">
        <f t="shared" si="6"/>
        <v>1.1400462957681157E-2</v>
      </c>
      <c r="T3" s="11">
        <f t="shared" si="7"/>
        <v>1.303240739798639E-2</v>
      </c>
    </row>
    <row r="4" spans="1:20" x14ac:dyDescent="0.45">
      <c r="A4" s="3" t="s">
        <v>142</v>
      </c>
      <c r="B4" s="9">
        <v>160</v>
      </c>
      <c r="C4" s="3" t="s">
        <v>139</v>
      </c>
      <c r="D4" s="10">
        <v>45663.3125</v>
      </c>
      <c r="E4" s="10">
        <v>45663.3125</v>
      </c>
      <c r="F4" s="10">
        <v>45663.314456018517</v>
      </c>
      <c r="G4" s="10">
        <v>45663.314456018517</v>
      </c>
      <c r="H4" s="10">
        <v>45663.317233796297</v>
      </c>
      <c r="I4" s="10">
        <v>45663.319687499999</v>
      </c>
      <c r="J4" s="10">
        <v>45663.319687499999</v>
      </c>
      <c r="K4" s="10">
        <v>45663.320555555547</v>
      </c>
      <c r="L4" s="10">
        <v>45663.321666666663</v>
      </c>
      <c r="M4" s="11">
        <f t="shared" si="0"/>
        <v>0</v>
      </c>
      <c r="N4" s="11">
        <f t="shared" si="1"/>
        <v>1.9560185173759237E-3</v>
      </c>
      <c r="O4" s="11">
        <f t="shared" si="2"/>
        <v>2.7777777795563452E-3</v>
      </c>
      <c r="P4" s="11">
        <f t="shared" si="3"/>
        <v>2.4537037024856545E-3</v>
      </c>
      <c r="Q4" s="11">
        <f t="shared" si="4"/>
        <v>8.6805554747115821E-4</v>
      </c>
      <c r="R4" s="11">
        <f t="shared" si="5"/>
        <v>1.1111111161881126E-3</v>
      </c>
      <c r="S4" s="11">
        <f t="shared" si="6"/>
        <v>7.2106481457012706E-3</v>
      </c>
      <c r="T4" s="11">
        <f t="shared" si="7"/>
        <v>9.1666666630771942E-3</v>
      </c>
    </row>
    <row r="5" spans="1:20" x14ac:dyDescent="0.45">
      <c r="A5" s="3" t="s">
        <v>143</v>
      </c>
      <c r="B5" s="9">
        <v>96</v>
      </c>
      <c r="C5" s="3" t="s">
        <v>139</v>
      </c>
      <c r="D5" s="10">
        <v>45663.46875</v>
      </c>
      <c r="E5" s="10">
        <v>45663.46875</v>
      </c>
      <c r="F5" s="10">
        <v>45663.470567129632</v>
      </c>
      <c r="G5" s="10">
        <v>45663.470567129632</v>
      </c>
      <c r="H5" s="10">
        <v>45663.473344907397</v>
      </c>
      <c r="I5" s="10">
        <v>45663.474722222221</v>
      </c>
      <c r="J5" s="10">
        <v>45663.474722222221</v>
      </c>
      <c r="K5" s="10">
        <v>45663.475601851853</v>
      </c>
      <c r="L5" s="10">
        <v>45663.476574074077</v>
      </c>
      <c r="M5" s="11">
        <f t="shared" si="0"/>
        <v>0</v>
      </c>
      <c r="N5" s="11">
        <f t="shared" si="1"/>
        <v>1.8171296323998831E-3</v>
      </c>
      <c r="O5" s="11">
        <f t="shared" si="2"/>
        <v>2.77777776500443E-3</v>
      </c>
      <c r="P5" s="11">
        <f t="shared" si="3"/>
        <v>1.3773148239124566E-3</v>
      </c>
      <c r="Q5" s="11">
        <f t="shared" si="4"/>
        <v>8.7962963152676821E-4</v>
      </c>
      <c r="R5" s="11">
        <f t="shared" si="5"/>
        <v>9.7222222393611446E-4</v>
      </c>
      <c r="S5" s="11">
        <f t="shared" si="6"/>
        <v>6.0069444443797693E-3</v>
      </c>
      <c r="T5" s="11">
        <f t="shared" si="7"/>
        <v>7.8240740767796524E-3</v>
      </c>
    </row>
    <row r="6" spans="1:20" x14ac:dyDescent="0.45">
      <c r="A6" s="3" t="s">
        <v>144</v>
      </c>
      <c r="B6" s="9">
        <v>176</v>
      </c>
      <c r="C6" s="3" t="s">
        <v>139</v>
      </c>
      <c r="D6" s="10">
        <v>45663.614583333343</v>
      </c>
      <c r="E6" s="10">
        <v>45663.614583333343</v>
      </c>
      <c r="F6" s="10">
        <v>45663.616585648153</v>
      </c>
      <c r="G6" s="10">
        <v>45663.616585648153</v>
      </c>
      <c r="H6" s="10">
        <v>45663.619363425933</v>
      </c>
      <c r="I6" s="10">
        <v>45663.6247337963</v>
      </c>
      <c r="J6" s="10">
        <v>45663.6247337963</v>
      </c>
      <c r="K6" s="10">
        <v>45663.625601851847</v>
      </c>
      <c r="L6" s="10">
        <v>45663.629016203697</v>
      </c>
      <c r="M6" s="11">
        <f t="shared" si="0"/>
        <v>0</v>
      </c>
      <c r="N6" s="11">
        <f t="shared" si="1"/>
        <v>2.002314809942618E-3</v>
      </c>
      <c r="O6" s="11">
        <f t="shared" si="2"/>
        <v>2.7777777795563452E-3</v>
      </c>
      <c r="P6" s="11">
        <f t="shared" si="3"/>
        <v>5.3703703670180403E-3</v>
      </c>
      <c r="Q6" s="11">
        <f t="shared" si="4"/>
        <v>8.6805554747115821E-4</v>
      </c>
      <c r="R6" s="11">
        <f t="shared" si="5"/>
        <v>3.4143518496421166E-3</v>
      </c>
      <c r="S6" s="11">
        <f t="shared" si="6"/>
        <v>1.243055554368766E-2</v>
      </c>
      <c r="T6" s="11">
        <f t="shared" si="7"/>
        <v>1.4432870353630278E-2</v>
      </c>
    </row>
    <row r="7" spans="1:20" x14ac:dyDescent="0.45">
      <c r="A7" s="3" t="s">
        <v>145</v>
      </c>
      <c r="B7" s="9">
        <v>160</v>
      </c>
      <c r="C7" s="3" t="s">
        <v>139</v>
      </c>
      <c r="D7" s="10">
        <v>45664.25</v>
      </c>
      <c r="E7" s="10">
        <v>45664.25</v>
      </c>
      <c r="F7" s="10">
        <v>45664.251956018517</v>
      </c>
      <c r="G7" s="10">
        <v>45664.251956018517</v>
      </c>
      <c r="H7" s="10">
        <v>45664.254733796297</v>
      </c>
      <c r="I7" s="10">
        <v>45664.257037037038</v>
      </c>
      <c r="J7" s="10">
        <v>45664.257037037038</v>
      </c>
      <c r="K7" s="10">
        <v>45664.257916666669</v>
      </c>
      <c r="L7" s="10">
        <v>45664.260439814818</v>
      </c>
      <c r="M7" s="11">
        <f t="shared" si="0"/>
        <v>0</v>
      </c>
      <c r="N7" s="11">
        <f t="shared" si="1"/>
        <v>1.9560185173759237E-3</v>
      </c>
      <c r="O7" s="11">
        <f t="shared" si="2"/>
        <v>2.7777777795563452E-3</v>
      </c>
      <c r="P7" s="11">
        <f t="shared" si="3"/>
        <v>2.3032407407299615E-3</v>
      </c>
      <c r="Q7" s="11">
        <f t="shared" si="4"/>
        <v>8.7962963152676821E-4</v>
      </c>
      <c r="R7" s="11">
        <f t="shared" si="5"/>
        <v>2.5231481486116536E-3</v>
      </c>
      <c r="S7" s="11">
        <f t="shared" si="6"/>
        <v>8.4837963004247285E-3</v>
      </c>
      <c r="T7" s="11">
        <f t="shared" si="7"/>
        <v>1.0439814817800652E-2</v>
      </c>
    </row>
    <row r="8" spans="1:20" x14ac:dyDescent="0.45">
      <c r="A8" s="3" t="s">
        <v>146</v>
      </c>
      <c r="B8" s="9">
        <v>128</v>
      </c>
      <c r="C8" s="3" t="s">
        <v>141</v>
      </c>
      <c r="D8" s="10">
        <v>45664.260416666657</v>
      </c>
      <c r="E8" s="10">
        <v>45664.260416666657</v>
      </c>
      <c r="F8" s="10">
        <v>45664.261863425927</v>
      </c>
      <c r="G8" s="10">
        <v>45664.261863425927</v>
      </c>
      <c r="H8" s="10">
        <v>45664.264641203707</v>
      </c>
      <c r="I8" s="10">
        <v>45664.266597222217</v>
      </c>
      <c r="J8" s="10">
        <v>45664.266597222217</v>
      </c>
      <c r="K8" s="10">
        <v>45664.267465277779</v>
      </c>
      <c r="L8" s="10">
        <v>45664.268495370372</v>
      </c>
      <c r="M8" s="11">
        <f t="shared" si="0"/>
        <v>0</v>
      </c>
      <c r="N8" s="11">
        <f t="shared" si="1"/>
        <v>1.4467592700384557E-3</v>
      </c>
      <c r="O8" s="11">
        <f t="shared" si="2"/>
        <v>2.7777777795563452E-3</v>
      </c>
      <c r="P8" s="11">
        <f t="shared" si="3"/>
        <v>1.9560185100999661E-3</v>
      </c>
      <c r="Q8" s="11">
        <f t="shared" si="4"/>
        <v>8.6805556202307343E-4</v>
      </c>
      <c r="R8" s="11">
        <f t="shared" si="5"/>
        <v>1.0300925932824612E-3</v>
      </c>
      <c r="S8" s="11">
        <f t="shared" si="6"/>
        <v>6.6319444449618459E-3</v>
      </c>
      <c r="T8" s="11">
        <f t="shared" si="7"/>
        <v>8.0787037150003016E-3</v>
      </c>
    </row>
    <row r="9" spans="1:20" x14ac:dyDescent="0.45">
      <c r="A9" s="3" t="s">
        <v>147</v>
      </c>
      <c r="B9" s="9">
        <v>224</v>
      </c>
      <c r="C9" s="3" t="s">
        <v>139</v>
      </c>
      <c r="D9" s="10">
        <v>45664.265277777777</v>
      </c>
      <c r="E9" s="10">
        <v>45664.265277777777</v>
      </c>
      <c r="F9" s="10">
        <v>45664.267384259263</v>
      </c>
      <c r="G9" s="10">
        <v>45664.267384259263</v>
      </c>
      <c r="H9" s="10">
        <v>45664.270162037043</v>
      </c>
      <c r="I9" s="10">
        <v>45664.275555555563</v>
      </c>
      <c r="J9" s="10">
        <v>45664.275555555563</v>
      </c>
      <c r="K9" s="10">
        <v>45664.276423611111</v>
      </c>
      <c r="L9" s="10">
        <v>45664.280451388891</v>
      </c>
      <c r="M9" s="11">
        <f t="shared" si="0"/>
        <v>0</v>
      </c>
      <c r="N9" s="11">
        <f t="shared" si="1"/>
        <v>2.1064814864075743E-3</v>
      </c>
      <c r="O9" s="11">
        <f t="shared" si="2"/>
        <v>2.7777777795563452E-3</v>
      </c>
      <c r="P9" s="11">
        <f t="shared" si="3"/>
        <v>5.393518520577345E-3</v>
      </c>
      <c r="Q9" s="11">
        <f t="shared" si="4"/>
        <v>8.6805554747115821E-4</v>
      </c>
      <c r="R9" s="11">
        <f t="shared" si="5"/>
        <v>4.0277777807204984E-3</v>
      </c>
      <c r="S9" s="11">
        <f t="shared" si="6"/>
        <v>1.3067129628325347E-2</v>
      </c>
      <c r="T9" s="11">
        <f t="shared" si="7"/>
        <v>1.5173611114732921E-2</v>
      </c>
    </row>
    <row r="10" spans="1:20" x14ac:dyDescent="0.45">
      <c r="A10" s="3" t="s">
        <v>148</v>
      </c>
      <c r="B10" s="9">
        <v>128</v>
      </c>
      <c r="C10" s="3" t="s">
        <v>141</v>
      </c>
      <c r="D10" s="10">
        <v>45664.275694444441</v>
      </c>
      <c r="E10" s="10">
        <v>45664.275694444441</v>
      </c>
      <c r="F10" s="10">
        <v>45664.277141203696</v>
      </c>
      <c r="G10" s="10">
        <v>45664.277141203696</v>
      </c>
      <c r="H10" s="10">
        <v>45664.279918981483</v>
      </c>
      <c r="I10" s="10">
        <v>45664.282997685194</v>
      </c>
      <c r="J10" s="10">
        <v>45664.282997685194</v>
      </c>
      <c r="K10" s="10">
        <v>45664.283865740741</v>
      </c>
      <c r="L10" s="10">
        <v>45664.287789351853</v>
      </c>
      <c r="M10" s="11">
        <f t="shared" si="0"/>
        <v>0</v>
      </c>
      <c r="N10" s="11">
        <f t="shared" si="1"/>
        <v>1.4467592554865405E-3</v>
      </c>
      <c r="O10" s="11">
        <f t="shared" si="2"/>
        <v>2.7777777868323028E-3</v>
      </c>
      <c r="P10" s="11">
        <f t="shared" si="3"/>
        <v>3.0787037103436887E-3</v>
      </c>
      <c r="Q10" s="11">
        <f t="shared" si="4"/>
        <v>8.6805554747115821E-4</v>
      </c>
      <c r="R10" s="11">
        <f t="shared" si="5"/>
        <v>3.9236111115314998E-3</v>
      </c>
      <c r="S10" s="11">
        <f t="shared" si="6"/>
        <v>1.064814815617865E-2</v>
      </c>
      <c r="T10" s="11">
        <f t="shared" si="7"/>
        <v>1.209490741166519E-2</v>
      </c>
    </row>
    <row r="11" spans="1:20" x14ac:dyDescent="0.45">
      <c r="A11" s="3" t="s">
        <v>149</v>
      </c>
      <c r="B11" s="9">
        <v>96</v>
      </c>
      <c r="C11" s="3" t="s">
        <v>139</v>
      </c>
      <c r="D11" s="10">
        <v>45664.284722222219</v>
      </c>
      <c r="E11" s="10">
        <v>45664.284722222219</v>
      </c>
      <c r="F11" s="10">
        <v>45664.286539351851</v>
      </c>
      <c r="G11" s="10">
        <v>45664.286539351851</v>
      </c>
      <c r="H11" s="10">
        <v>45664.289317129631</v>
      </c>
      <c r="I11" s="10">
        <v>45664.290462962963</v>
      </c>
      <c r="J11" s="10">
        <v>45664.290462962963</v>
      </c>
      <c r="K11" s="10">
        <v>45664.291331018518</v>
      </c>
      <c r="L11" s="10">
        <v>45664.292685185188</v>
      </c>
      <c r="M11" s="11">
        <f t="shared" si="0"/>
        <v>0</v>
      </c>
      <c r="N11" s="11">
        <f t="shared" si="1"/>
        <v>1.8171296323998831E-3</v>
      </c>
      <c r="O11" s="11">
        <f t="shared" si="2"/>
        <v>2.7777777795563452E-3</v>
      </c>
      <c r="P11" s="11">
        <f t="shared" si="3"/>
        <v>1.1458333319751546E-3</v>
      </c>
      <c r="Q11" s="11">
        <f t="shared" si="4"/>
        <v>8.6805555474711582E-4</v>
      </c>
      <c r="R11" s="11">
        <f t="shared" si="5"/>
        <v>1.3541666703531519E-3</v>
      </c>
      <c r="S11" s="11">
        <f t="shared" si="6"/>
        <v>6.1458333366317675E-3</v>
      </c>
      <c r="T11" s="11">
        <f t="shared" si="7"/>
        <v>7.9629629690316506E-3</v>
      </c>
    </row>
    <row r="12" spans="1:20" x14ac:dyDescent="0.45">
      <c r="A12" s="3" t="s">
        <v>150</v>
      </c>
      <c r="B12" s="9">
        <v>192</v>
      </c>
      <c r="C12" s="3" t="s">
        <v>141</v>
      </c>
      <c r="D12" s="10">
        <v>45664.292361111111</v>
      </c>
      <c r="E12" s="10">
        <v>45664.292361111111</v>
      </c>
      <c r="F12" s="10">
        <v>45664.293958333343</v>
      </c>
      <c r="G12" s="10">
        <v>45664.293958333343</v>
      </c>
      <c r="H12" s="10">
        <v>45664.296736111108</v>
      </c>
      <c r="I12" s="10">
        <v>45664.299317129633</v>
      </c>
      <c r="J12" s="10">
        <v>45664.299317129633</v>
      </c>
      <c r="K12" s="10">
        <v>45664.300185185188</v>
      </c>
      <c r="L12" s="10">
        <v>45664.30300925926</v>
      </c>
      <c r="M12" s="11">
        <f t="shared" si="0"/>
        <v>0</v>
      </c>
      <c r="N12" s="11">
        <f t="shared" si="1"/>
        <v>1.5972222317941487E-3</v>
      </c>
      <c r="O12" s="11">
        <f t="shared" si="2"/>
        <v>2.77777776500443E-3</v>
      </c>
      <c r="P12" s="11">
        <f t="shared" si="3"/>
        <v>2.5810185252339579E-3</v>
      </c>
      <c r="Q12" s="11">
        <f t="shared" si="4"/>
        <v>8.6805555474711582E-4</v>
      </c>
      <c r="R12" s="11">
        <f t="shared" si="5"/>
        <v>2.8240740721230395E-3</v>
      </c>
      <c r="S12" s="11">
        <f t="shared" si="6"/>
        <v>9.0509259171085432E-3</v>
      </c>
      <c r="T12" s="11">
        <f t="shared" si="7"/>
        <v>1.0648148148902692E-2</v>
      </c>
    </row>
    <row r="13" spans="1:20" x14ac:dyDescent="0.45">
      <c r="A13" s="3" t="s">
        <v>151</v>
      </c>
      <c r="B13" s="9">
        <v>128</v>
      </c>
      <c r="C13" s="3" t="s">
        <v>139</v>
      </c>
      <c r="D13" s="10">
        <v>45664.541666666657</v>
      </c>
      <c r="E13" s="10">
        <v>45664.541666666657</v>
      </c>
      <c r="F13" s="10">
        <v>45664.543553240743</v>
      </c>
      <c r="G13" s="10">
        <v>45664.543553240743</v>
      </c>
      <c r="H13" s="10">
        <v>45664.546331018522</v>
      </c>
      <c r="I13" s="10">
        <v>45664.547986111109</v>
      </c>
      <c r="J13" s="10">
        <v>45664.547986111109</v>
      </c>
      <c r="K13" s="10">
        <v>45664.548784722218</v>
      </c>
      <c r="L13" s="10">
        <v>45664.549826388888</v>
      </c>
      <c r="M13" s="11">
        <f t="shared" si="0"/>
        <v>0</v>
      </c>
      <c r="N13" s="11">
        <f t="shared" si="1"/>
        <v>1.8865740858018398E-3</v>
      </c>
      <c r="O13" s="11">
        <f t="shared" si="2"/>
        <v>2.7777777795563452E-3</v>
      </c>
      <c r="P13" s="11">
        <f t="shared" si="3"/>
        <v>1.6550925865885802E-3</v>
      </c>
      <c r="Q13" s="11">
        <f t="shared" si="4"/>
        <v>7.9861110862111673E-4</v>
      </c>
      <c r="R13" s="11">
        <f t="shared" si="5"/>
        <v>1.0416666700621136E-3</v>
      </c>
      <c r="S13" s="11">
        <f t="shared" si="6"/>
        <v>6.2731481448281556E-3</v>
      </c>
      <c r="T13" s="11">
        <f t="shared" si="7"/>
        <v>8.1597222306299955E-3</v>
      </c>
    </row>
    <row r="14" spans="1:20" x14ac:dyDescent="0.45">
      <c r="A14" s="3" t="s">
        <v>152</v>
      </c>
      <c r="B14" s="9">
        <v>80</v>
      </c>
      <c r="C14" s="3" t="s">
        <v>139</v>
      </c>
      <c r="D14" s="10">
        <v>45664.6875</v>
      </c>
      <c r="E14" s="10">
        <v>45664.6875</v>
      </c>
      <c r="F14" s="10">
        <v>45664.689270833333</v>
      </c>
      <c r="G14" s="10">
        <v>45664.689270833333</v>
      </c>
      <c r="H14" s="10">
        <v>45664.692048611112</v>
      </c>
      <c r="I14" s="10">
        <v>45664.693124999998</v>
      </c>
      <c r="J14" s="10">
        <v>45664.693124999998</v>
      </c>
      <c r="K14" s="10">
        <v>45664.693993055553</v>
      </c>
      <c r="L14" s="10">
        <v>45664.695300925923</v>
      </c>
      <c r="M14" s="11">
        <f t="shared" si="0"/>
        <v>0</v>
      </c>
      <c r="N14" s="11">
        <f t="shared" si="1"/>
        <v>1.7708333325572312E-3</v>
      </c>
      <c r="O14" s="11">
        <f t="shared" si="2"/>
        <v>2.7777777795563452E-3</v>
      </c>
      <c r="P14" s="11">
        <f t="shared" si="3"/>
        <v>1.0763888858491555E-3</v>
      </c>
      <c r="Q14" s="11">
        <f t="shared" si="4"/>
        <v>8.6805555474711582E-4</v>
      </c>
      <c r="R14" s="11">
        <f t="shared" si="5"/>
        <v>1.3078703705104999E-3</v>
      </c>
      <c r="S14" s="11">
        <f t="shared" si="6"/>
        <v>6.0300925906631164E-3</v>
      </c>
      <c r="T14" s="11">
        <f t="shared" si="7"/>
        <v>7.8009259232203476E-3</v>
      </c>
    </row>
    <row r="15" spans="1:20" x14ac:dyDescent="0.45">
      <c r="A15" s="3" t="s">
        <v>153</v>
      </c>
      <c r="B15" s="9">
        <v>64</v>
      </c>
      <c r="C15" s="3" t="s">
        <v>154</v>
      </c>
      <c r="D15" s="10">
        <v>45664.833333333343</v>
      </c>
      <c r="E15" s="10">
        <v>45664.833333333343</v>
      </c>
      <c r="F15" s="10">
        <v>45664.834699074083</v>
      </c>
      <c r="G15" s="10">
        <v>45664.834699074083</v>
      </c>
      <c r="H15" s="10">
        <v>45664.837476851862</v>
      </c>
      <c r="I15" s="10">
        <v>45664.838310185187</v>
      </c>
      <c r="J15" s="10">
        <v>45664.838310185187</v>
      </c>
      <c r="K15" s="10">
        <v>45664.839097222219</v>
      </c>
      <c r="L15" s="10">
        <v>45664.841296296298</v>
      </c>
      <c r="M15" s="11">
        <f t="shared" si="0"/>
        <v>0</v>
      </c>
      <c r="N15" s="11">
        <f t="shared" si="1"/>
        <v>1.3657407398568466E-3</v>
      </c>
      <c r="O15" s="11">
        <f t="shared" si="2"/>
        <v>2.7777777795563452E-3</v>
      </c>
      <c r="P15" s="11">
        <f t="shared" si="3"/>
        <v>8.3333332440815866E-4</v>
      </c>
      <c r="Q15" s="11">
        <f t="shared" si="4"/>
        <v>7.8703703184146434E-4</v>
      </c>
      <c r="R15" s="11">
        <f t="shared" si="5"/>
        <v>2.1990740788169205E-3</v>
      </c>
      <c r="S15" s="11">
        <f t="shared" si="6"/>
        <v>6.5972222146228887E-3</v>
      </c>
      <c r="T15" s="11">
        <f t="shared" si="7"/>
        <v>7.9629629544797353E-3</v>
      </c>
    </row>
    <row r="16" spans="1:20" x14ac:dyDescent="0.45">
      <c r="A16" s="3" t="s">
        <v>155</v>
      </c>
      <c r="B16" s="9">
        <v>192</v>
      </c>
      <c r="C16" s="3" t="s">
        <v>139</v>
      </c>
      <c r="D16" s="10">
        <v>45665.229166666657</v>
      </c>
      <c r="E16" s="10">
        <v>45665.229166666657</v>
      </c>
      <c r="F16" s="10">
        <v>45665.231203703697</v>
      </c>
      <c r="G16" s="10">
        <v>45665.231203703697</v>
      </c>
      <c r="H16" s="10">
        <v>45665.233981481477</v>
      </c>
      <c r="I16" s="10">
        <v>45665.239849537043</v>
      </c>
      <c r="J16" s="10">
        <v>45665.239849537043</v>
      </c>
      <c r="K16" s="10">
        <v>45665.242071759261</v>
      </c>
      <c r="L16" s="10">
        <v>45665.24491898148</v>
      </c>
      <c r="M16" s="11">
        <f t="shared" si="0"/>
        <v>0</v>
      </c>
      <c r="N16" s="11">
        <f t="shared" si="1"/>
        <v>2.0370370402815752E-3</v>
      </c>
      <c r="O16" s="11">
        <f t="shared" si="2"/>
        <v>2.7777777795563452E-3</v>
      </c>
      <c r="P16" s="11">
        <f t="shared" si="3"/>
        <v>5.8680555666796863E-3</v>
      </c>
      <c r="Q16" s="11">
        <f t="shared" si="4"/>
        <v>2.2222222178243101E-3</v>
      </c>
      <c r="R16" s="11">
        <f t="shared" si="5"/>
        <v>2.8472222184063867E-3</v>
      </c>
      <c r="S16" s="11">
        <f t="shared" si="6"/>
        <v>1.3715277782466728E-2</v>
      </c>
      <c r="T16" s="11">
        <f t="shared" si="7"/>
        <v>1.5752314822748303E-2</v>
      </c>
    </row>
    <row r="17" spans="1:20" x14ac:dyDescent="0.45">
      <c r="A17" s="3" t="s">
        <v>156</v>
      </c>
      <c r="B17" s="9">
        <v>64</v>
      </c>
      <c r="C17" s="3" t="s">
        <v>154</v>
      </c>
      <c r="D17" s="10">
        <v>45665.229166666657</v>
      </c>
      <c r="E17" s="10">
        <v>45665.229166666657</v>
      </c>
      <c r="F17" s="10">
        <v>45665.230532407397</v>
      </c>
      <c r="G17" s="10">
        <v>45665.230532407397</v>
      </c>
      <c r="H17" s="10">
        <v>45665.233310185176</v>
      </c>
      <c r="I17" s="10">
        <v>45665.234166666669</v>
      </c>
      <c r="J17" s="10">
        <v>45665.234166666669</v>
      </c>
      <c r="K17" s="10">
        <v>45665.235798611109</v>
      </c>
      <c r="L17" s="10">
        <v>45665.238993055558</v>
      </c>
      <c r="M17" s="11">
        <f t="shared" si="0"/>
        <v>0</v>
      </c>
      <c r="N17" s="11">
        <f t="shared" si="1"/>
        <v>1.3657407398568466E-3</v>
      </c>
      <c r="O17" s="11">
        <f t="shared" si="2"/>
        <v>2.7777777795563452E-3</v>
      </c>
      <c r="P17" s="11">
        <f t="shared" si="3"/>
        <v>8.5648149251937866E-4</v>
      </c>
      <c r="Q17" s="11">
        <f t="shared" si="4"/>
        <v>1.631944440305233E-3</v>
      </c>
      <c r="R17" s="11">
        <f t="shared" si="5"/>
        <v>3.1944444490363821E-3</v>
      </c>
      <c r="S17" s="11">
        <f t="shared" si="6"/>
        <v>8.460648161417339E-3</v>
      </c>
      <c r="T17" s="11">
        <f t="shared" si="7"/>
        <v>9.8263889012741856E-3</v>
      </c>
    </row>
    <row r="18" spans="1:20" x14ac:dyDescent="0.45">
      <c r="A18" s="3" t="s">
        <v>157</v>
      </c>
      <c r="B18" s="9">
        <v>96</v>
      </c>
      <c r="C18" s="3" t="s">
        <v>141</v>
      </c>
      <c r="D18" s="10">
        <v>45665.229166666657</v>
      </c>
      <c r="E18" s="10">
        <v>45665.229166666657</v>
      </c>
      <c r="F18" s="10">
        <v>45665.230543981481</v>
      </c>
      <c r="G18" s="10">
        <v>45665.230543981481</v>
      </c>
      <c r="H18" s="10">
        <v>45665.23332175926</v>
      </c>
      <c r="I18" s="10">
        <v>45665.234560185178</v>
      </c>
      <c r="J18" s="10">
        <v>45665.234560185178</v>
      </c>
      <c r="K18" s="10">
        <v>45665.239861111113</v>
      </c>
      <c r="L18" s="10">
        <v>45665.24119212963</v>
      </c>
      <c r="M18" s="11">
        <f t="shared" si="0"/>
        <v>0</v>
      </c>
      <c r="N18" s="11">
        <f t="shared" si="1"/>
        <v>1.3773148239124566E-3</v>
      </c>
      <c r="O18" s="11">
        <f t="shared" si="2"/>
        <v>2.7777777795563452E-3</v>
      </c>
      <c r="P18" s="11">
        <f t="shared" si="3"/>
        <v>1.2384259171085432E-3</v>
      </c>
      <c r="Q18" s="11">
        <f t="shared" si="4"/>
        <v>5.3009259354439564E-3</v>
      </c>
      <c r="R18" s="11">
        <f t="shared" si="5"/>
        <v>1.3310185167938471E-3</v>
      </c>
      <c r="S18" s="11">
        <f t="shared" si="6"/>
        <v>1.0648148148902692E-2</v>
      </c>
      <c r="T18" s="11">
        <f t="shared" si="7"/>
        <v>1.2025462972815149E-2</v>
      </c>
    </row>
    <row r="19" spans="1:20" x14ac:dyDescent="0.45">
      <c r="A19" s="3" t="s">
        <v>158</v>
      </c>
      <c r="B19" s="9">
        <v>176</v>
      </c>
      <c r="C19" s="3" t="s">
        <v>139</v>
      </c>
      <c r="D19" s="10">
        <v>45665.375</v>
      </c>
      <c r="E19" s="10">
        <v>45665.375</v>
      </c>
      <c r="F19" s="10">
        <v>45665.377002314817</v>
      </c>
      <c r="G19" s="10">
        <v>45665.377002314817</v>
      </c>
      <c r="H19" s="10">
        <v>45665.379780092589</v>
      </c>
      <c r="I19" s="10">
        <v>45665.382303240738</v>
      </c>
      <c r="J19" s="10">
        <v>45665.382303240738</v>
      </c>
      <c r="K19" s="10">
        <v>45665.383171296293</v>
      </c>
      <c r="L19" s="10">
        <v>45665.385659722233</v>
      </c>
      <c r="M19" s="11">
        <f t="shared" si="0"/>
        <v>0</v>
      </c>
      <c r="N19" s="11">
        <f t="shared" si="1"/>
        <v>2.0023148172185756E-3</v>
      </c>
      <c r="O19" s="11">
        <f t="shared" si="2"/>
        <v>2.7777777722803876E-3</v>
      </c>
      <c r="P19" s="11">
        <f t="shared" si="3"/>
        <v>2.5231481486116536E-3</v>
      </c>
      <c r="Q19" s="11">
        <f t="shared" si="4"/>
        <v>8.6805555474711582E-4</v>
      </c>
      <c r="R19" s="11">
        <f t="shared" si="5"/>
        <v>2.4884259401005693E-3</v>
      </c>
      <c r="S19" s="11">
        <f t="shared" si="6"/>
        <v>8.6574074157397263E-3</v>
      </c>
      <c r="T19" s="11">
        <f t="shared" si="7"/>
        <v>1.0659722232958302E-2</v>
      </c>
    </row>
    <row r="20" spans="1:20" x14ac:dyDescent="0.45">
      <c r="A20" s="3" t="s">
        <v>159</v>
      </c>
      <c r="B20" s="9">
        <v>144</v>
      </c>
      <c r="C20" s="3" t="s">
        <v>141</v>
      </c>
      <c r="D20" s="10">
        <v>45665.380555555559</v>
      </c>
      <c r="E20" s="10">
        <v>45665.380555555559</v>
      </c>
      <c r="F20" s="10">
        <v>45665.382037037038</v>
      </c>
      <c r="G20" s="10">
        <v>45665.382037037038</v>
      </c>
      <c r="H20" s="10">
        <v>45665.384814814817</v>
      </c>
      <c r="I20" s="10">
        <v>45665.386817129627</v>
      </c>
      <c r="J20" s="10">
        <v>45665.386817129627</v>
      </c>
      <c r="K20" s="10">
        <v>45665.387685185182</v>
      </c>
      <c r="L20" s="10">
        <v>45665.389131944437</v>
      </c>
      <c r="M20" s="11">
        <f t="shared" si="0"/>
        <v>0</v>
      </c>
      <c r="N20" s="11">
        <f t="shared" si="1"/>
        <v>1.48148147854954E-3</v>
      </c>
      <c r="O20" s="11">
        <f t="shared" si="2"/>
        <v>2.7777777795563452E-3</v>
      </c>
      <c r="P20" s="11">
        <f t="shared" si="3"/>
        <v>2.002314809942618E-3</v>
      </c>
      <c r="Q20" s="11">
        <f t="shared" si="4"/>
        <v>8.6805555474711582E-4</v>
      </c>
      <c r="R20" s="11">
        <f t="shared" si="5"/>
        <v>1.4467592554865405E-3</v>
      </c>
      <c r="S20" s="11">
        <f t="shared" si="6"/>
        <v>7.0949073997326195E-3</v>
      </c>
      <c r="T20" s="11">
        <f t="shared" si="7"/>
        <v>8.5763888782821596E-3</v>
      </c>
    </row>
    <row r="21" spans="1:20" x14ac:dyDescent="0.45">
      <c r="A21" s="3" t="s">
        <v>160</v>
      </c>
      <c r="B21" s="9">
        <v>192</v>
      </c>
      <c r="C21" s="3" t="s">
        <v>139</v>
      </c>
      <c r="D21" s="10">
        <v>45665.396527777782</v>
      </c>
      <c r="E21" s="10">
        <v>45665.396527777782</v>
      </c>
      <c r="F21" s="10">
        <v>45665.398564814823</v>
      </c>
      <c r="G21" s="10">
        <v>45665.398564814823</v>
      </c>
      <c r="H21" s="10">
        <v>45665.401342592602</v>
      </c>
      <c r="I21" s="10">
        <v>45665.404189814813</v>
      </c>
      <c r="J21" s="10">
        <v>45665.404189814813</v>
      </c>
      <c r="K21" s="10">
        <v>45665.405057870368</v>
      </c>
      <c r="L21" s="10">
        <v>45665.407465277778</v>
      </c>
      <c r="M21" s="11">
        <f t="shared" si="0"/>
        <v>0</v>
      </c>
      <c r="N21" s="11">
        <f t="shared" si="1"/>
        <v>2.0370370402815752E-3</v>
      </c>
      <c r="O21" s="11">
        <f t="shared" si="2"/>
        <v>2.7777777795563452E-3</v>
      </c>
      <c r="P21" s="11">
        <f t="shared" si="3"/>
        <v>2.8472222111304291E-3</v>
      </c>
      <c r="Q21" s="11">
        <f t="shared" si="4"/>
        <v>8.6805555474711582E-4</v>
      </c>
      <c r="R21" s="11">
        <f t="shared" si="5"/>
        <v>2.4074074099189602E-3</v>
      </c>
      <c r="S21" s="11">
        <f t="shared" si="6"/>
        <v>8.9004629553528503E-3</v>
      </c>
      <c r="T21" s="11">
        <f t="shared" si="7"/>
        <v>1.0937499995634425E-2</v>
      </c>
    </row>
    <row r="22" spans="1:20" x14ac:dyDescent="0.45">
      <c r="A22" s="3" t="s">
        <v>161</v>
      </c>
      <c r="B22" s="9">
        <v>160</v>
      </c>
      <c r="C22" s="3" t="s">
        <v>141</v>
      </c>
      <c r="D22" s="10">
        <v>45665.402777777781</v>
      </c>
      <c r="E22" s="10">
        <v>45665.402777777781</v>
      </c>
      <c r="F22" s="10">
        <v>45665.404305555552</v>
      </c>
      <c r="G22" s="10">
        <v>45665.404305555552</v>
      </c>
      <c r="H22" s="10">
        <v>45665.407083333332</v>
      </c>
      <c r="I22" s="10">
        <v>45665.409375000003</v>
      </c>
      <c r="J22" s="10">
        <v>45665.409375000003</v>
      </c>
      <c r="K22" s="10">
        <v>45665.410243055558</v>
      </c>
      <c r="L22" s="10">
        <v>45665.411874999998</v>
      </c>
      <c r="M22" s="11">
        <f t="shared" si="0"/>
        <v>0</v>
      </c>
      <c r="N22" s="11">
        <f t="shared" si="1"/>
        <v>1.5277777711162344E-3</v>
      </c>
      <c r="O22" s="11">
        <f t="shared" si="2"/>
        <v>2.7777777795563452E-3</v>
      </c>
      <c r="P22" s="11">
        <f t="shared" si="3"/>
        <v>2.2916666712262668E-3</v>
      </c>
      <c r="Q22" s="11">
        <f t="shared" si="4"/>
        <v>8.6805555474711582E-4</v>
      </c>
      <c r="R22" s="11">
        <f t="shared" si="5"/>
        <v>1.631944440305233E-3</v>
      </c>
      <c r="S22" s="11">
        <f t="shared" si="6"/>
        <v>7.5694444458349608E-3</v>
      </c>
      <c r="T22" s="11">
        <f t="shared" si="7"/>
        <v>9.0972222169511952E-3</v>
      </c>
    </row>
    <row r="23" spans="1:20" x14ac:dyDescent="0.45">
      <c r="A23" s="3" t="s">
        <v>162</v>
      </c>
      <c r="B23" s="9">
        <v>256</v>
      </c>
      <c r="C23" s="3" t="s">
        <v>139</v>
      </c>
      <c r="D23" s="10">
        <v>45665.420138888891</v>
      </c>
      <c r="E23" s="10">
        <v>45665.420138888891</v>
      </c>
      <c r="F23" s="10">
        <v>45665.422326388893</v>
      </c>
      <c r="G23" s="10">
        <v>45665.422326388893</v>
      </c>
      <c r="H23" s="10">
        <v>45665.425104166658</v>
      </c>
      <c r="I23" s="10">
        <v>45665.428773148153</v>
      </c>
      <c r="J23" s="10">
        <v>45665.428773148153</v>
      </c>
      <c r="K23" s="10">
        <v>45665.429652777777</v>
      </c>
      <c r="L23" s="10">
        <v>45665.432199074072</v>
      </c>
      <c r="M23" s="11">
        <f t="shared" si="0"/>
        <v>0</v>
      </c>
      <c r="N23" s="11">
        <f t="shared" si="1"/>
        <v>2.1875000020372681E-3</v>
      </c>
      <c r="O23" s="11">
        <f t="shared" si="2"/>
        <v>2.77777776500443E-3</v>
      </c>
      <c r="P23" s="11">
        <f t="shared" si="3"/>
        <v>3.6689814951387234E-3</v>
      </c>
      <c r="Q23" s="11">
        <f t="shared" si="4"/>
        <v>8.7962962425081059E-4</v>
      </c>
      <c r="R23" s="11">
        <f t="shared" si="5"/>
        <v>2.5462962948950008E-3</v>
      </c>
      <c r="S23" s="11">
        <f t="shared" si="6"/>
        <v>9.8726851792889647E-3</v>
      </c>
      <c r="T23" s="11">
        <f t="shared" si="7"/>
        <v>1.2060185181326233E-2</v>
      </c>
    </row>
    <row r="24" spans="1:20" x14ac:dyDescent="0.45">
      <c r="A24" s="3" t="s">
        <v>163</v>
      </c>
      <c r="B24" s="9">
        <v>160</v>
      </c>
      <c r="C24" s="3" t="s">
        <v>139</v>
      </c>
      <c r="D24" s="10">
        <v>45665.59375</v>
      </c>
      <c r="E24" s="10">
        <v>45665.59375</v>
      </c>
      <c r="F24" s="10">
        <v>45665.595706018517</v>
      </c>
      <c r="G24" s="10">
        <v>45665.595706018517</v>
      </c>
      <c r="H24" s="10">
        <v>45665.598483796297</v>
      </c>
      <c r="I24" s="10">
        <v>45665.600937499999</v>
      </c>
      <c r="J24" s="10">
        <v>45665.600937499999</v>
      </c>
      <c r="K24" s="10">
        <v>45665.601805555547</v>
      </c>
      <c r="L24" s="10">
        <v>45665.604050925933</v>
      </c>
      <c r="M24" s="11">
        <f t="shared" si="0"/>
        <v>0</v>
      </c>
      <c r="N24" s="11">
        <f t="shared" si="1"/>
        <v>1.9560185173759237E-3</v>
      </c>
      <c r="O24" s="11">
        <f t="shared" si="2"/>
        <v>2.7777777795563452E-3</v>
      </c>
      <c r="P24" s="11">
        <f t="shared" si="3"/>
        <v>2.4537037024856545E-3</v>
      </c>
      <c r="Q24" s="11">
        <f t="shared" si="4"/>
        <v>8.6805554747115821E-4</v>
      </c>
      <c r="R24" s="11">
        <f t="shared" si="5"/>
        <v>2.2453703859355301E-3</v>
      </c>
      <c r="S24" s="11">
        <f t="shared" si="6"/>
        <v>8.344907415448688E-3</v>
      </c>
      <c r="T24" s="11">
        <f t="shared" si="7"/>
        <v>1.0300925932824612E-2</v>
      </c>
    </row>
    <row r="25" spans="1:20" x14ac:dyDescent="0.45">
      <c r="A25" s="3" t="s">
        <v>164</v>
      </c>
      <c r="B25" s="9">
        <v>112</v>
      </c>
      <c r="C25" s="3" t="s">
        <v>139</v>
      </c>
      <c r="D25" s="10">
        <v>45665.75</v>
      </c>
      <c r="E25" s="10">
        <v>45665.75</v>
      </c>
      <c r="F25" s="10">
        <v>45665.751851851863</v>
      </c>
      <c r="G25" s="10">
        <v>45665.751851851863</v>
      </c>
      <c r="H25" s="10">
        <v>45665.754629629628</v>
      </c>
      <c r="I25" s="10">
        <v>45665.75613425926</v>
      </c>
      <c r="J25" s="10">
        <v>45665.75613425926</v>
      </c>
      <c r="K25" s="10">
        <v>45665.757013888891</v>
      </c>
      <c r="L25" s="10">
        <v>45665.758020833331</v>
      </c>
      <c r="M25" s="11">
        <f t="shared" si="0"/>
        <v>0</v>
      </c>
      <c r="N25" s="11">
        <f t="shared" si="1"/>
        <v>1.8518518627388403E-3</v>
      </c>
      <c r="O25" s="11">
        <f t="shared" si="2"/>
        <v>2.77777776500443E-3</v>
      </c>
      <c r="P25" s="11">
        <f t="shared" si="3"/>
        <v>1.5046296321088448E-3</v>
      </c>
      <c r="Q25" s="11">
        <f t="shared" si="4"/>
        <v>8.7962963152676821E-4</v>
      </c>
      <c r="R25" s="11">
        <f t="shared" si="5"/>
        <v>1.0069444397231564E-3</v>
      </c>
      <c r="S25" s="11">
        <f t="shared" si="6"/>
        <v>6.1689814683631994E-3</v>
      </c>
      <c r="T25" s="11">
        <f t="shared" si="7"/>
        <v>8.0208333311020397E-3</v>
      </c>
    </row>
    <row r="26" spans="1:20" x14ac:dyDescent="0.45">
      <c r="A26" s="3" t="s">
        <v>165</v>
      </c>
      <c r="B26" s="9">
        <v>256</v>
      </c>
      <c r="C26" s="3" t="s">
        <v>139</v>
      </c>
      <c r="D26" s="10">
        <v>45665.895833333343</v>
      </c>
      <c r="E26" s="10">
        <v>45665.895833333343</v>
      </c>
      <c r="F26" s="10">
        <v>45665.898020833331</v>
      </c>
      <c r="G26" s="10">
        <v>45665.898020833331</v>
      </c>
      <c r="H26" s="10">
        <v>45665.90079861111</v>
      </c>
      <c r="I26" s="10">
        <v>45665.904710648138</v>
      </c>
      <c r="J26" s="10">
        <v>45665.904710648138</v>
      </c>
      <c r="K26" s="10">
        <v>45665.905578703707</v>
      </c>
      <c r="L26" s="10">
        <v>45665.906921296293</v>
      </c>
      <c r="M26" s="11">
        <f t="shared" si="0"/>
        <v>0</v>
      </c>
      <c r="N26" s="11">
        <f t="shared" si="1"/>
        <v>2.1874999874853529E-3</v>
      </c>
      <c r="O26" s="11">
        <f t="shared" si="2"/>
        <v>2.7777777795563452E-3</v>
      </c>
      <c r="P26" s="11">
        <f t="shared" si="3"/>
        <v>3.9120370274758898E-3</v>
      </c>
      <c r="Q26" s="11">
        <f t="shared" si="4"/>
        <v>8.6805556929903105E-4</v>
      </c>
      <c r="R26" s="11">
        <f t="shared" si="5"/>
        <v>1.3425925862975419E-3</v>
      </c>
      <c r="S26" s="11">
        <f t="shared" si="6"/>
        <v>8.9004629626288079E-3</v>
      </c>
      <c r="T26" s="11">
        <f t="shared" si="7"/>
        <v>1.1087962950114161E-2</v>
      </c>
    </row>
    <row r="27" spans="1:20" x14ac:dyDescent="0.45">
      <c r="A27" s="3" t="s">
        <v>166</v>
      </c>
      <c r="B27" s="9">
        <v>128</v>
      </c>
      <c r="C27" s="3" t="s">
        <v>139</v>
      </c>
      <c r="D27" s="10">
        <v>45666.208333333343</v>
      </c>
      <c r="E27" s="10">
        <v>45666.208333333343</v>
      </c>
      <c r="F27" s="10">
        <v>45666.210219907407</v>
      </c>
      <c r="G27" s="10">
        <v>45666.210219907407</v>
      </c>
      <c r="H27" s="10">
        <v>45666.212997685187</v>
      </c>
      <c r="I27" s="10">
        <v>45666.214722222219</v>
      </c>
      <c r="J27" s="10">
        <v>45666.214722222219</v>
      </c>
      <c r="K27" s="10">
        <v>45666.215590277781</v>
      </c>
      <c r="L27" s="10">
        <v>45666.217465277783</v>
      </c>
      <c r="M27" s="11">
        <f t="shared" si="0"/>
        <v>0</v>
      </c>
      <c r="N27" s="11">
        <f t="shared" si="1"/>
        <v>1.886574063973967E-3</v>
      </c>
      <c r="O27" s="11">
        <f t="shared" si="2"/>
        <v>2.7777777795563452E-3</v>
      </c>
      <c r="P27" s="11">
        <f t="shared" si="3"/>
        <v>1.7245370327145793E-3</v>
      </c>
      <c r="Q27" s="11">
        <f t="shared" si="4"/>
        <v>8.6805556202307343E-4</v>
      </c>
      <c r="R27" s="11">
        <f t="shared" si="5"/>
        <v>1.8750000017462298E-3</v>
      </c>
      <c r="S27" s="11">
        <f t="shared" si="6"/>
        <v>7.2453703760402277E-3</v>
      </c>
      <c r="T27" s="11">
        <f t="shared" si="7"/>
        <v>9.1319444400141947E-3</v>
      </c>
    </row>
    <row r="28" spans="1:20" x14ac:dyDescent="0.45">
      <c r="A28" s="3" t="s">
        <v>167</v>
      </c>
      <c r="B28" s="9">
        <v>176</v>
      </c>
      <c r="C28" s="3" t="s">
        <v>141</v>
      </c>
      <c r="D28" s="10">
        <v>45666.214583333327</v>
      </c>
      <c r="E28" s="10">
        <v>45666.214583333327</v>
      </c>
      <c r="F28" s="10">
        <v>45666.216145833343</v>
      </c>
      <c r="G28" s="10">
        <v>45666.216145833343</v>
      </c>
      <c r="H28" s="10">
        <v>45666.218923611108</v>
      </c>
      <c r="I28" s="10">
        <v>45666.221284722233</v>
      </c>
      <c r="J28" s="10">
        <v>45666.221284722233</v>
      </c>
      <c r="K28" s="10">
        <v>45666.22216435185</v>
      </c>
      <c r="L28" s="10">
        <v>45666.223877314813</v>
      </c>
      <c r="M28" s="11">
        <f t="shared" si="0"/>
        <v>0</v>
      </c>
      <c r="N28" s="11">
        <f t="shared" si="1"/>
        <v>1.5625000160071068E-3</v>
      </c>
      <c r="O28" s="11">
        <f t="shared" si="2"/>
        <v>2.77777776500443E-3</v>
      </c>
      <c r="P28" s="11">
        <f t="shared" si="3"/>
        <v>2.3611111246282235E-3</v>
      </c>
      <c r="Q28" s="11">
        <f t="shared" si="4"/>
        <v>8.7962961697485298E-4</v>
      </c>
      <c r="R28" s="11">
        <f t="shared" si="5"/>
        <v>1.7129629632108845E-3</v>
      </c>
      <c r="S28" s="11">
        <f t="shared" si="6"/>
        <v>7.7314814698183909E-3</v>
      </c>
      <c r="T28" s="11">
        <f t="shared" si="7"/>
        <v>9.2939814858254977E-3</v>
      </c>
    </row>
    <row r="29" spans="1:20" x14ac:dyDescent="0.45">
      <c r="A29" s="3" t="s">
        <v>168</v>
      </c>
      <c r="B29" s="9">
        <v>176</v>
      </c>
      <c r="C29" s="3" t="s">
        <v>139</v>
      </c>
      <c r="D29" s="10">
        <v>45666.22152777778</v>
      </c>
      <c r="E29" s="10">
        <v>45666.22152777778</v>
      </c>
      <c r="F29" s="10">
        <v>45666.223530092589</v>
      </c>
      <c r="G29" s="10">
        <v>45666.223530092589</v>
      </c>
      <c r="H29" s="10">
        <v>45666.226307870369</v>
      </c>
      <c r="I29" s="10">
        <v>45666.233391203707</v>
      </c>
      <c r="J29" s="10">
        <v>45666.233391203707</v>
      </c>
      <c r="K29" s="10">
        <v>45666.234907407408</v>
      </c>
      <c r="L29" s="10">
        <v>45666.239571759259</v>
      </c>
      <c r="M29" s="11">
        <f t="shared" si="0"/>
        <v>0</v>
      </c>
      <c r="N29" s="11">
        <f t="shared" si="1"/>
        <v>2.002314809942618E-3</v>
      </c>
      <c r="O29" s="11">
        <f t="shared" si="2"/>
        <v>2.7777777795563452E-3</v>
      </c>
      <c r="P29" s="11">
        <f t="shared" si="3"/>
        <v>7.0833333375048824E-3</v>
      </c>
      <c r="Q29" s="11">
        <f t="shared" si="4"/>
        <v>1.5162037016125396E-3</v>
      </c>
      <c r="R29" s="11">
        <f t="shared" si="5"/>
        <v>4.6643518508062698E-3</v>
      </c>
      <c r="S29" s="11">
        <f t="shared" si="6"/>
        <v>1.6041666669480037E-2</v>
      </c>
      <c r="T29" s="11">
        <f t="shared" si="7"/>
        <v>1.8043981479422655E-2</v>
      </c>
    </row>
    <row r="30" spans="1:20" x14ac:dyDescent="0.45">
      <c r="A30" s="3" t="s">
        <v>169</v>
      </c>
      <c r="B30" s="9">
        <v>208</v>
      </c>
      <c r="C30" s="3" t="s">
        <v>141</v>
      </c>
      <c r="D30" s="10">
        <v>45666.227777777778</v>
      </c>
      <c r="E30" s="10">
        <v>45666.227777777778</v>
      </c>
      <c r="F30" s="10">
        <v>45666.229409722233</v>
      </c>
      <c r="G30" s="10">
        <v>45666.229409722233</v>
      </c>
      <c r="H30" s="10">
        <v>45666.232187499998</v>
      </c>
      <c r="I30" s="10">
        <v>45666.23537037037</v>
      </c>
      <c r="J30" s="10">
        <v>45666.23537037037</v>
      </c>
      <c r="K30" s="10">
        <v>45666.240439814806</v>
      </c>
      <c r="L30" s="10">
        <v>45666.241724537038</v>
      </c>
      <c r="M30" s="11">
        <f t="shared" si="0"/>
        <v>0</v>
      </c>
      <c r="N30" s="11">
        <f t="shared" si="1"/>
        <v>1.6319444548571482E-3</v>
      </c>
      <c r="O30" s="11">
        <f t="shared" si="2"/>
        <v>2.77777776500443E-3</v>
      </c>
      <c r="P30" s="11">
        <f t="shared" si="3"/>
        <v>3.1828703722567298E-3</v>
      </c>
      <c r="Q30" s="11">
        <f t="shared" si="4"/>
        <v>5.0694444362306967E-3</v>
      </c>
      <c r="R30" s="11">
        <f t="shared" si="5"/>
        <v>1.2847222315031104E-3</v>
      </c>
      <c r="S30" s="11">
        <f t="shared" si="6"/>
        <v>1.2314814804994967E-2</v>
      </c>
      <c r="T30" s="11">
        <f t="shared" si="7"/>
        <v>1.3946759259852115E-2</v>
      </c>
    </row>
    <row r="31" spans="1:20" x14ac:dyDescent="0.45">
      <c r="A31" s="3" t="s">
        <v>170</v>
      </c>
      <c r="B31" s="9">
        <v>144</v>
      </c>
      <c r="C31" s="3" t="s">
        <v>171</v>
      </c>
      <c r="D31" s="10">
        <v>45666.231249999997</v>
      </c>
      <c r="E31" s="10">
        <v>45666.231249999997</v>
      </c>
      <c r="F31" s="10">
        <v>45666.232569444437</v>
      </c>
      <c r="G31" s="10">
        <v>45666.232569444437</v>
      </c>
      <c r="H31" s="10">
        <v>45666.235347222217</v>
      </c>
      <c r="I31" s="10">
        <v>45666.237280092602</v>
      </c>
      <c r="J31" s="10">
        <v>45666.237280092602</v>
      </c>
      <c r="K31" s="10">
        <v>45666.242592592593</v>
      </c>
      <c r="L31" s="10">
        <v>45666.243958333333</v>
      </c>
      <c r="M31" s="11">
        <f t="shared" si="0"/>
        <v>0</v>
      </c>
      <c r="N31" s="11">
        <f t="shared" si="1"/>
        <v>1.3194444400141947E-3</v>
      </c>
      <c r="O31" s="11">
        <f t="shared" si="2"/>
        <v>2.7777777795563452E-3</v>
      </c>
      <c r="P31" s="11">
        <f t="shared" si="3"/>
        <v>1.9328703856444918E-3</v>
      </c>
      <c r="Q31" s="11">
        <f t="shared" si="4"/>
        <v>5.3124999903957359E-3</v>
      </c>
      <c r="R31" s="11">
        <f t="shared" si="5"/>
        <v>1.3657407398568466E-3</v>
      </c>
      <c r="S31" s="11">
        <f t="shared" si="6"/>
        <v>1.138888889545342E-2</v>
      </c>
      <c r="T31" s="11">
        <f t="shared" si="7"/>
        <v>1.2708333335467614E-2</v>
      </c>
    </row>
    <row r="32" spans="1:20" x14ac:dyDescent="0.45">
      <c r="A32" s="3" t="s">
        <v>172</v>
      </c>
      <c r="B32" s="9">
        <v>96</v>
      </c>
      <c r="C32" s="3" t="s">
        <v>173</v>
      </c>
      <c r="D32" s="10">
        <v>45666.234722222223</v>
      </c>
      <c r="E32" s="10">
        <v>45666.234722222223</v>
      </c>
      <c r="F32" s="10">
        <v>45666.235844907409</v>
      </c>
      <c r="G32" s="10">
        <v>45666.235844907409</v>
      </c>
      <c r="H32" s="10">
        <v>45666.239016203697</v>
      </c>
      <c r="I32" s="10">
        <v>45666.240474537037</v>
      </c>
      <c r="J32" s="10">
        <v>45666.240474537037</v>
      </c>
      <c r="K32" s="10">
        <v>45666.244826388887</v>
      </c>
      <c r="L32" s="10">
        <v>45666.246157407397</v>
      </c>
      <c r="M32" s="11">
        <f t="shared" si="0"/>
        <v>0</v>
      </c>
      <c r="N32" s="11">
        <f t="shared" si="1"/>
        <v>1.1226851856918074E-3</v>
      </c>
      <c r="O32" s="11">
        <f t="shared" si="2"/>
        <v>3.1712962882011198E-3</v>
      </c>
      <c r="P32" s="11">
        <f t="shared" si="3"/>
        <v>1.4583333395421505E-3</v>
      </c>
      <c r="Q32" s="11">
        <f t="shared" si="4"/>
        <v>4.3518518505152315E-3</v>
      </c>
      <c r="R32" s="11">
        <f t="shared" si="5"/>
        <v>1.3310185095178895E-3</v>
      </c>
      <c r="S32" s="11">
        <f t="shared" si="6"/>
        <v>1.0312499987776391E-2</v>
      </c>
      <c r="T32" s="11">
        <f t="shared" si="7"/>
        <v>1.1435185173468199E-2</v>
      </c>
    </row>
    <row r="33" spans="1:20" x14ac:dyDescent="0.45">
      <c r="A33" s="3" t="s">
        <v>174</v>
      </c>
      <c r="B33" s="9">
        <v>160</v>
      </c>
      <c r="C33" s="3" t="s">
        <v>139</v>
      </c>
      <c r="D33" s="10">
        <v>45666.239583333343</v>
      </c>
      <c r="E33" s="10">
        <v>45666.239583333343</v>
      </c>
      <c r="F33" s="10">
        <v>45666.241539351853</v>
      </c>
      <c r="G33" s="10">
        <v>45666.241539351853</v>
      </c>
      <c r="H33" s="10">
        <v>45666.244317129633</v>
      </c>
      <c r="I33" s="10">
        <v>45666.246539351851</v>
      </c>
      <c r="J33" s="10">
        <v>45666.246539351851</v>
      </c>
      <c r="K33" s="10">
        <v>45666.247800925928</v>
      </c>
      <c r="L33" s="10">
        <v>45666.24931712963</v>
      </c>
      <c r="M33" s="11">
        <f t="shared" si="0"/>
        <v>0</v>
      </c>
      <c r="N33" s="11">
        <f t="shared" si="1"/>
        <v>1.9560185100999661E-3</v>
      </c>
      <c r="O33" s="11">
        <f t="shared" si="2"/>
        <v>2.7777777795563452E-3</v>
      </c>
      <c r="P33" s="11">
        <f t="shared" si="3"/>
        <v>2.2222222178243101E-3</v>
      </c>
      <c r="Q33" s="11">
        <f t="shared" si="4"/>
        <v>1.2615740779438056E-3</v>
      </c>
      <c r="R33" s="11">
        <f t="shared" si="5"/>
        <v>1.5162037016125396E-3</v>
      </c>
      <c r="S33" s="11">
        <f t="shared" si="6"/>
        <v>7.7777777769370005E-3</v>
      </c>
      <c r="T33" s="11">
        <f t="shared" si="7"/>
        <v>9.7337962870369665E-3</v>
      </c>
    </row>
    <row r="34" spans="1:20" x14ac:dyDescent="0.45">
      <c r="A34" s="3" t="s">
        <v>175</v>
      </c>
      <c r="B34" s="9">
        <v>176</v>
      </c>
      <c r="C34" s="3" t="s">
        <v>141</v>
      </c>
      <c r="D34" s="10">
        <v>45666.244444444441</v>
      </c>
      <c r="E34" s="10">
        <v>45666.244444444441</v>
      </c>
      <c r="F34" s="10">
        <v>45666.246006944442</v>
      </c>
      <c r="G34" s="10">
        <v>45666.246006944442</v>
      </c>
      <c r="H34" s="10">
        <v>45666.248784722222</v>
      </c>
      <c r="I34" s="10">
        <v>45666.253831018519</v>
      </c>
      <c r="J34" s="10">
        <v>45666.253831018519</v>
      </c>
      <c r="K34" s="10">
        <v>45666.254710648151</v>
      </c>
      <c r="L34" s="10">
        <v>45666.258287037039</v>
      </c>
      <c r="M34" s="11">
        <f t="shared" ref="M34:M65" si="8">IF(AND(ISNUMBER(D34),ISNUMBER(E34)),(E34-D34),"")</f>
        <v>0</v>
      </c>
      <c r="N34" s="11">
        <f t="shared" ref="N34:N65" si="9">IF(AND(ISNUMBER(E34),ISNUMBER(F34)),(F34-E34),"")</f>
        <v>1.5625000014551915E-3</v>
      </c>
      <c r="O34" s="11">
        <f t="shared" ref="O34:O65" si="10">IF(AND(ISNUMBER(G34),ISNUMBER(H34)),(H34-G34),"")</f>
        <v>2.7777777795563452E-3</v>
      </c>
      <c r="P34" s="11">
        <f t="shared" ref="P34:P65" si="11">IF(AND(ISNUMBER(H34),ISNUMBER(I34)),(I34-H34),"")</f>
        <v>5.0462962972233072E-3</v>
      </c>
      <c r="Q34" s="11">
        <f t="shared" ref="Q34:Q65" si="12">IF(AND(ISNUMBER(J34),ISNUMBER(K34)),(K34-J34),"")</f>
        <v>8.7962963152676821E-4</v>
      </c>
      <c r="R34" s="11">
        <f t="shared" ref="R34:R65" si="13">IF(AND(ISNUMBER(K34),ISNUMBER(L34)),(L34-K34),"")</f>
        <v>3.5763888881774619E-3</v>
      </c>
      <c r="S34" s="11">
        <f t="shared" ref="S34:S65" si="14">IF(AND(ISNUMBER(F34),ISNUMBER(L34)),(L34-F34),"")</f>
        <v>1.2280092596483883E-2</v>
      </c>
      <c r="T34" s="11">
        <f t="shared" ref="T34:T65" si="15">IF(AND(ISNUMBER(D34),ISNUMBER(L34)),(L34-D34),"")</f>
        <v>1.3842592597939074E-2</v>
      </c>
    </row>
    <row r="35" spans="1:20" x14ac:dyDescent="0.45">
      <c r="A35" s="3" t="s">
        <v>176</v>
      </c>
      <c r="B35" s="9">
        <v>176</v>
      </c>
      <c r="C35" s="3" t="s">
        <v>139</v>
      </c>
      <c r="D35" s="10">
        <v>45666.458333333343</v>
      </c>
      <c r="E35" s="10">
        <v>45666.458333333343</v>
      </c>
      <c r="F35" s="10">
        <v>45666.460335648153</v>
      </c>
      <c r="G35" s="10">
        <v>45666.460335648153</v>
      </c>
      <c r="H35" s="10">
        <v>45666.463113425933</v>
      </c>
      <c r="I35" s="10">
        <v>45666.465636574067</v>
      </c>
      <c r="J35" s="10">
        <v>45666.465636574067</v>
      </c>
      <c r="K35" s="10">
        <v>45666.466423611113</v>
      </c>
      <c r="L35" s="10">
        <v>45666.468912037039</v>
      </c>
      <c r="M35" s="11">
        <f t="shared" si="8"/>
        <v>0</v>
      </c>
      <c r="N35" s="11">
        <f t="shared" si="9"/>
        <v>2.002314809942618E-3</v>
      </c>
      <c r="O35" s="11">
        <f t="shared" si="10"/>
        <v>2.7777777795563452E-3</v>
      </c>
      <c r="P35" s="11">
        <f t="shared" si="11"/>
        <v>2.5231481340597384E-3</v>
      </c>
      <c r="Q35" s="11">
        <f t="shared" si="12"/>
        <v>7.8703704639337957E-4</v>
      </c>
      <c r="R35" s="11">
        <f t="shared" si="13"/>
        <v>2.488425925548654E-3</v>
      </c>
      <c r="S35" s="11">
        <f t="shared" si="14"/>
        <v>8.5763888855581172E-3</v>
      </c>
      <c r="T35" s="11">
        <f t="shared" si="15"/>
        <v>1.0578703695500735E-2</v>
      </c>
    </row>
    <row r="36" spans="1:20" x14ac:dyDescent="0.45">
      <c r="A36" s="3" t="s">
        <v>177</v>
      </c>
      <c r="B36" s="9">
        <v>192</v>
      </c>
      <c r="C36" s="3" t="s">
        <v>141</v>
      </c>
      <c r="D36" s="10">
        <v>45666.458333333343</v>
      </c>
      <c r="E36" s="10">
        <v>45666.458333333343</v>
      </c>
      <c r="F36" s="10">
        <v>45666.459930555553</v>
      </c>
      <c r="G36" s="10">
        <v>45666.459930555553</v>
      </c>
      <c r="H36" s="10">
        <v>45666.462708333333</v>
      </c>
      <c r="I36" s="10">
        <v>45666.468402777777</v>
      </c>
      <c r="J36" s="10">
        <v>45666.468402777777</v>
      </c>
      <c r="K36" s="10">
        <v>45666.469780092593</v>
      </c>
      <c r="L36" s="10">
        <v>45666.472488425927</v>
      </c>
      <c r="M36" s="11">
        <f t="shared" si="8"/>
        <v>0</v>
      </c>
      <c r="N36" s="11">
        <f t="shared" si="9"/>
        <v>1.5972222099662758E-3</v>
      </c>
      <c r="O36" s="11">
        <f t="shared" si="10"/>
        <v>2.7777777795563452E-3</v>
      </c>
      <c r="P36" s="11">
        <f t="shared" si="11"/>
        <v>5.694444444088731E-3</v>
      </c>
      <c r="Q36" s="11">
        <f t="shared" si="12"/>
        <v>1.377314816636499E-3</v>
      </c>
      <c r="R36" s="11">
        <f t="shared" si="13"/>
        <v>2.7083333334303461E-3</v>
      </c>
      <c r="S36" s="11">
        <f t="shared" si="14"/>
        <v>1.2557870373711921E-2</v>
      </c>
      <c r="T36" s="11">
        <f t="shared" si="15"/>
        <v>1.4155092583678197E-2</v>
      </c>
    </row>
    <row r="37" spans="1:20" x14ac:dyDescent="0.45">
      <c r="A37" s="3" t="s">
        <v>178</v>
      </c>
      <c r="B37" s="9">
        <v>288</v>
      </c>
      <c r="C37" s="3" t="s">
        <v>139</v>
      </c>
      <c r="D37" s="10">
        <v>45666.541666666657</v>
      </c>
      <c r="E37" s="10">
        <v>45666.541666666657</v>
      </c>
      <c r="F37" s="10">
        <v>45666.543923611112</v>
      </c>
      <c r="G37" s="10">
        <v>45666.543923611112</v>
      </c>
      <c r="H37" s="10">
        <v>45666.546701388892</v>
      </c>
      <c r="I37" s="10">
        <v>45666.550439814811</v>
      </c>
      <c r="J37" s="10">
        <v>45666.550439814811</v>
      </c>
      <c r="K37" s="10">
        <v>45666.551319444443</v>
      </c>
      <c r="L37" s="10">
        <v>45666.554062499999</v>
      </c>
      <c r="M37" s="11">
        <f t="shared" si="8"/>
        <v>0</v>
      </c>
      <c r="N37" s="11">
        <f t="shared" si="9"/>
        <v>2.2569444554392248E-3</v>
      </c>
      <c r="O37" s="11">
        <f t="shared" si="10"/>
        <v>2.7777777795563452E-3</v>
      </c>
      <c r="P37" s="11">
        <f t="shared" si="11"/>
        <v>3.7384259194368497E-3</v>
      </c>
      <c r="Q37" s="11">
        <f t="shared" si="12"/>
        <v>8.7962963152676821E-4</v>
      </c>
      <c r="R37" s="11">
        <f t="shared" si="13"/>
        <v>2.7430555564933456E-3</v>
      </c>
      <c r="S37" s="11">
        <f t="shared" si="14"/>
        <v>1.0138888887013309E-2</v>
      </c>
      <c r="T37" s="11">
        <f t="shared" si="15"/>
        <v>1.2395833342452534E-2</v>
      </c>
    </row>
    <row r="38" spans="1:20" x14ac:dyDescent="0.45">
      <c r="A38" s="3" t="s">
        <v>179</v>
      </c>
      <c r="B38" s="9">
        <v>176</v>
      </c>
      <c r="C38" s="3" t="s">
        <v>141</v>
      </c>
      <c r="D38" s="10">
        <v>45666.546527777777</v>
      </c>
      <c r="E38" s="10">
        <v>45666.546527777777</v>
      </c>
      <c r="F38" s="10">
        <v>45666.548090277778</v>
      </c>
      <c r="G38" s="10">
        <v>45666.548090277778</v>
      </c>
      <c r="H38" s="10">
        <v>45666.550868055558</v>
      </c>
      <c r="I38" s="10">
        <v>45666.555752314824</v>
      </c>
      <c r="J38" s="10">
        <v>45666.555752314824</v>
      </c>
      <c r="K38" s="10">
        <v>45666.556631944448</v>
      </c>
      <c r="L38" s="10">
        <v>45666.559837962966</v>
      </c>
      <c r="M38" s="11">
        <f t="shared" si="8"/>
        <v>0</v>
      </c>
      <c r="N38" s="11">
        <f t="shared" si="9"/>
        <v>1.5625000014551915E-3</v>
      </c>
      <c r="O38" s="11">
        <f t="shared" si="10"/>
        <v>2.7777777795563452E-3</v>
      </c>
      <c r="P38" s="11">
        <f t="shared" si="11"/>
        <v>4.8842592659639195E-3</v>
      </c>
      <c r="Q38" s="11">
        <f t="shared" si="12"/>
        <v>8.7962962425081059E-4</v>
      </c>
      <c r="R38" s="11">
        <f t="shared" si="13"/>
        <v>3.2060185185400769E-3</v>
      </c>
      <c r="S38" s="11">
        <f t="shared" si="14"/>
        <v>1.1747685188311152E-2</v>
      </c>
      <c r="T38" s="11">
        <f t="shared" si="15"/>
        <v>1.3310185189766344E-2</v>
      </c>
    </row>
    <row r="39" spans="1:20" x14ac:dyDescent="0.45">
      <c r="A39" s="3" t="s">
        <v>180</v>
      </c>
      <c r="B39" s="9">
        <v>80</v>
      </c>
      <c r="C39" s="3" t="s">
        <v>139</v>
      </c>
      <c r="D39" s="10">
        <v>45666.559027777781</v>
      </c>
      <c r="E39" s="10">
        <v>45666.559027777781</v>
      </c>
      <c r="F39" s="10">
        <v>45666.560798611114</v>
      </c>
      <c r="G39" s="10">
        <v>45666.560798611114</v>
      </c>
      <c r="H39" s="10">
        <v>45666.563576388893</v>
      </c>
      <c r="I39" s="10">
        <v>45666.564768518518</v>
      </c>
      <c r="J39" s="10">
        <v>45666.564768518518</v>
      </c>
      <c r="K39" s="10">
        <v>45666.565636574072</v>
      </c>
      <c r="L39" s="10">
        <v>45666.567777777767</v>
      </c>
      <c r="M39" s="11">
        <f t="shared" si="8"/>
        <v>0</v>
      </c>
      <c r="N39" s="11">
        <f t="shared" si="9"/>
        <v>1.7708333325572312E-3</v>
      </c>
      <c r="O39" s="11">
        <f t="shared" si="10"/>
        <v>2.7777777795563452E-3</v>
      </c>
      <c r="P39" s="11">
        <f t="shared" si="11"/>
        <v>1.1921296245418489E-3</v>
      </c>
      <c r="Q39" s="11">
        <f t="shared" si="12"/>
        <v>8.6805555474711582E-4</v>
      </c>
      <c r="R39" s="11">
        <f t="shared" si="13"/>
        <v>2.1412036949186586E-3</v>
      </c>
      <c r="S39" s="11">
        <f t="shared" si="14"/>
        <v>6.9791666537639685E-3</v>
      </c>
      <c r="T39" s="11">
        <f t="shared" si="15"/>
        <v>8.7499999863211997E-3</v>
      </c>
    </row>
    <row r="40" spans="1:20" x14ac:dyDescent="0.45">
      <c r="A40" s="3" t="s">
        <v>181</v>
      </c>
      <c r="B40" s="9">
        <v>192</v>
      </c>
      <c r="C40" s="3" t="s">
        <v>139</v>
      </c>
      <c r="D40" s="10">
        <v>45666.568749999999</v>
      </c>
      <c r="E40" s="10">
        <v>45666.568749999999</v>
      </c>
      <c r="F40" s="10">
        <v>45666.570787037039</v>
      </c>
      <c r="G40" s="10">
        <v>45666.570787037039</v>
      </c>
      <c r="H40" s="10">
        <v>45666.573564814818</v>
      </c>
      <c r="I40" s="10">
        <v>45666.576412037037</v>
      </c>
      <c r="J40" s="10">
        <v>45666.576412037037</v>
      </c>
      <c r="K40" s="10">
        <v>45666.577291666668</v>
      </c>
      <c r="L40" s="10">
        <v>45666.579930555563</v>
      </c>
      <c r="M40" s="11">
        <f t="shared" si="8"/>
        <v>0</v>
      </c>
      <c r="N40" s="11">
        <f t="shared" si="9"/>
        <v>2.0370370402815752E-3</v>
      </c>
      <c r="O40" s="11">
        <f t="shared" si="10"/>
        <v>2.7777777795563452E-3</v>
      </c>
      <c r="P40" s="11">
        <f t="shared" si="11"/>
        <v>2.8472222184063867E-3</v>
      </c>
      <c r="Q40" s="11">
        <f t="shared" si="12"/>
        <v>8.7962963152676821E-4</v>
      </c>
      <c r="R40" s="11">
        <f t="shared" si="13"/>
        <v>2.6388888945803046E-3</v>
      </c>
      <c r="S40" s="11">
        <f t="shared" si="14"/>
        <v>9.1435185240698047E-3</v>
      </c>
      <c r="T40" s="11">
        <f t="shared" si="15"/>
        <v>1.118055556435138E-2</v>
      </c>
    </row>
    <row r="41" spans="1:20" x14ac:dyDescent="0.45">
      <c r="A41" s="3" t="s">
        <v>182</v>
      </c>
      <c r="B41" s="9">
        <v>192</v>
      </c>
      <c r="C41" s="3" t="s">
        <v>141</v>
      </c>
      <c r="D41" s="10">
        <v>45666.576388888891</v>
      </c>
      <c r="E41" s="10">
        <v>45666.576388888891</v>
      </c>
      <c r="F41" s="10">
        <v>45666.577986111108</v>
      </c>
      <c r="G41" s="10">
        <v>45666.577986111108</v>
      </c>
      <c r="H41" s="10">
        <v>45666.580763888887</v>
      </c>
      <c r="I41" s="10">
        <v>45666.586458333331</v>
      </c>
      <c r="J41" s="10">
        <v>45666.586458333331</v>
      </c>
      <c r="K41" s="10">
        <v>45666.587326388893</v>
      </c>
      <c r="L41" s="10">
        <v>45666.590810185182</v>
      </c>
      <c r="M41" s="11">
        <f t="shared" si="8"/>
        <v>0</v>
      </c>
      <c r="N41" s="11">
        <f t="shared" si="9"/>
        <v>1.5972222172422335E-3</v>
      </c>
      <c r="O41" s="11">
        <f t="shared" si="10"/>
        <v>2.7777777795563452E-3</v>
      </c>
      <c r="P41" s="11">
        <f t="shared" si="11"/>
        <v>5.694444444088731E-3</v>
      </c>
      <c r="Q41" s="11">
        <f t="shared" si="12"/>
        <v>8.6805556202307343E-4</v>
      </c>
      <c r="R41" s="11">
        <f t="shared" si="13"/>
        <v>3.4837962884921581E-3</v>
      </c>
      <c r="S41" s="11">
        <f t="shared" si="14"/>
        <v>1.2824074074160308E-2</v>
      </c>
      <c r="T41" s="11">
        <f t="shared" si="15"/>
        <v>1.4421296291402541E-2</v>
      </c>
    </row>
    <row r="42" spans="1:20" x14ac:dyDescent="0.45">
      <c r="A42" s="3" t="s">
        <v>183</v>
      </c>
      <c r="B42" s="9">
        <v>144</v>
      </c>
      <c r="C42" s="3" t="s">
        <v>139</v>
      </c>
      <c r="D42" s="10">
        <v>45666.791666666657</v>
      </c>
      <c r="E42" s="10">
        <v>45666.791666666657</v>
      </c>
      <c r="F42" s="10">
        <v>45666.793587962973</v>
      </c>
      <c r="G42" s="10">
        <v>45666.793587962973</v>
      </c>
      <c r="H42" s="10">
        <v>45666.796365740738</v>
      </c>
      <c r="I42" s="10">
        <v>45666.798506944448</v>
      </c>
      <c r="J42" s="10">
        <v>45666.798506944448</v>
      </c>
      <c r="K42" s="10">
        <v>45666.799375000002</v>
      </c>
      <c r="L42" s="10">
        <v>45666.800451388888</v>
      </c>
      <c r="M42" s="11">
        <f t="shared" si="8"/>
        <v>0</v>
      </c>
      <c r="N42" s="11">
        <f t="shared" si="9"/>
        <v>1.921296316140797E-3</v>
      </c>
      <c r="O42" s="11">
        <f t="shared" si="10"/>
        <v>2.77777776500443E-3</v>
      </c>
      <c r="P42" s="11">
        <f t="shared" si="11"/>
        <v>2.1412037094705738E-3</v>
      </c>
      <c r="Q42" s="11">
        <f t="shared" si="12"/>
        <v>8.6805555474711582E-4</v>
      </c>
      <c r="R42" s="11">
        <f t="shared" si="13"/>
        <v>1.0763888858491555E-3</v>
      </c>
      <c r="S42" s="11">
        <f t="shared" si="14"/>
        <v>6.8634259150712751E-3</v>
      </c>
      <c r="T42" s="11">
        <f t="shared" si="15"/>
        <v>8.7847222312120721E-3</v>
      </c>
    </row>
    <row r="43" spans="1:20" x14ac:dyDescent="0.45">
      <c r="A43" s="3" t="s">
        <v>184</v>
      </c>
      <c r="B43" s="9">
        <v>272</v>
      </c>
      <c r="C43" s="3" t="s">
        <v>141</v>
      </c>
      <c r="D43" s="10">
        <v>45666.795138888891</v>
      </c>
      <c r="E43" s="10">
        <v>45666.795138888891</v>
      </c>
      <c r="F43" s="10">
        <v>45666.7969212963</v>
      </c>
      <c r="G43" s="10">
        <v>45666.7969212963</v>
      </c>
      <c r="H43" s="10">
        <v>45666.799699074072</v>
      </c>
      <c r="I43" s="10">
        <v>45666.807256944441</v>
      </c>
      <c r="J43" s="10">
        <v>45666.807256944441</v>
      </c>
      <c r="K43" s="10">
        <v>45666.808125000003</v>
      </c>
      <c r="L43" s="10">
        <v>45666.811678240738</v>
      </c>
      <c r="M43" s="11">
        <f t="shared" si="8"/>
        <v>0</v>
      </c>
      <c r="N43" s="11">
        <f t="shared" si="9"/>
        <v>1.7824074093368836E-3</v>
      </c>
      <c r="O43" s="11">
        <f t="shared" si="10"/>
        <v>2.7777777722803876E-3</v>
      </c>
      <c r="P43" s="11">
        <f t="shared" si="11"/>
        <v>7.5578703690553084E-3</v>
      </c>
      <c r="Q43" s="11">
        <f t="shared" si="12"/>
        <v>8.6805556202307343E-4</v>
      </c>
      <c r="R43" s="11">
        <f t="shared" si="13"/>
        <v>3.5532407346181571E-3</v>
      </c>
      <c r="S43" s="11">
        <f t="shared" si="14"/>
        <v>1.4756944437976927E-2</v>
      </c>
      <c r="T43" s="11">
        <f t="shared" si="15"/>
        <v>1.653935184731381E-2</v>
      </c>
    </row>
    <row r="44" spans="1:20" x14ac:dyDescent="0.45">
      <c r="A44" s="3" t="s">
        <v>185</v>
      </c>
      <c r="B44" s="9">
        <v>160</v>
      </c>
      <c r="C44" s="3" t="s">
        <v>139</v>
      </c>
      <c r="D44" s="10">
        <v>45666.9375</v>
      </c>
      <c r="E44" s="10">
        <v>45666.9375</v>
      </c>
      <c r="F44" s="10">
        <v>45666.939456018517</v>
      </c>
      <c r="G44" s="10">
        <v>45666.939456018517</v>
      </c>
      <c r="H44" s="10">
        <v>45666.942233796297</v>
      </c>
      <c r="I44" s="10">
        <v>45666.944606481477</v>
      </c>
      <c r="J44" s="10">
        <v>45666.944606481477</v>
      </c>
      <c r="K44" s="10">
        <v>45666.945335648154</v>
      </c>
      <c r="L44" s="10">
        <v>45666.946840277778</v>
      </c>
      <c r="M44" s="11">
        <f t="shared" si="8"/>
        <v>0</v>
      </c>
      <c r="N44" s="11">
        <f t="shared" si="9"/>
        <v>1.9560185173759237E-3</v>
      </c>
      <c r="O44" s="11">
        <f t="shared" si="10"/>
        <v>2.7777777795563452E-3</v>
      </c>
      <c r="P44" s="11">
        <f t="shared" si="11"/>
        <v>2.372685179580003E-3</v>
      </c>
      <c r="Q44" s="11">
        <f t="shared" si="12"/>
        <v>7.2916667704703286E-4</v>
      </c>
      <c r="R44" s="11">
        <f t="shared" si="13"/>
        <v>1.5046296248328872E-3</v>
      </c>
      <c r="S44" s="11">
        <f t="shared" si="14"/>
        <v>7.3842592610162683E-3</v>
      </c>
      <c r="T44" s="11">
        <f t="shared" si="15"/>
        <v>9.340277778392192E-3</v>
      </c>
    </row>
    <row r="45" spans="1:20" x14ac:dyDescent="0.45">
      <c r="A45" s="3" t="s">
        <v>186</v>
      </c>
      <c r="B45" s="9">
        <v>160</v>
      </c>
      <c r="C45" s="3" t="s">
        <v>139</v>
      </c>
      <c r="D45" s="10">
        <v>45667.291666666657</v>
      </c>
      <c r="E45" s="10">
        <v>45667.291666666657</v>
      </c>
      <c r="F45" s="10">
        <v>45667.293622685182</v>
      </c>
      <c r="G45" s="10">
        <v>45667.293622685182</v>
      </c>
      <c r="H45" s="10">
        <v>45667.296400462961</v>
      </c>
      <c r="I45" s="10">
        <v>45667.302187499998</v>
      </c>
      <c r="J45" s="10">
        <v>45667.302187499998</v>
      </c>
      <c r="K45" s="10">
        <v>45667.303055555552</v>
      </c>
      <c r="L45" s="10">
        <v>45667.306875000002</v>
      </c>
      <c r="M45" s="11">
        <f t="shared" si="8"/>
        <v>0</v>
      </c>
      <c r="N45" s="11">
        <f t="shared" si="9"/>
        <v>1.9560185246518813E-3</v>
      </c>
      <c r="O45" s="11">
        <f t="shared" si="10"/>
        <v>2.7777777795563452E-3</v>
      </c>
      <c r="P45" s="11">
        <f t="shared" si="11"/>
        <v>5.7870370364980772E-3</v>
      </c>
      <c r="Q45" s="11">
        <f t="shared" si="12"/>
        <v>8.6805555474711582E-4</v>
      </c>
      <c r="R45" s="11">
        <f t="shared" si="13"/>
        <v>3.8194444496184587E-3</v>
      </c>
      <c r="S45" s="11">
        <f t="shared" si="14"/>
        <v>1.3252314820419997E-2</v>
      </c>
      <c r="T45" s="11">
        <f t="shared" si="15"/>
        <v>1.5208333345071878E-2</v>
      </c>
    </row>
    <row r="46" spans="1:20" x14ac:dyDescent="0.45">
      <c r="A46" s="3" t="s">
        <v>187</v>
      </c>
      <c r="B46" s="9">
        <v>144</v>
      </c>
      <c r="C46" s="3" t="s">
        <v>139</v>
      </c>
      <c r="D46" s="10">
        <v>45667.315972222219</v>
      </c>
      <c r="E46" s="10">
        <v>45667.315972222219</v>
      </c>
      <c r="F46" s="10">
        <v>45667.317893518521</v>
      </c>
      <c r="G46" s="10">
        <v>45667.317893518521</v>
      </c>
      <c r="H46" s="10">
        <v>45667.320671296293</v>
      </c>
      <c r="I46" s="10">
        <v>45667.324803240743</v>
      </c>
      <c r="J46" s="10">
        <v>45667.324803240743</v>
      </c>
      <c r="K46" s="10">
        <v>45667.325567129628</v>
      </c>
      <c r="L46" s="10">
        <v>45667.329421296286</v>
      </c>
      <c r="M46" s="11">
        <f t="shared" si="8"/>
        <v>0</v>
      </c>
      <c r="N46" s="11">
        <f t="shared" si="9"/>
        <v>1.9212963015888818E-3</v>
      </c>
      <c r="O46" s="11">
        <f t="shared" si="10"/>
        <v>2.7777777722803876E-3</v>
      </c>
      <c r="P46" s="11">
        <f t="shared" si="11"/>
        <v>4.1319444499094971E-3</v>
      </c>
      <c r="Q46" s="11">
        <f t="shared" si="12"/>
        <v>7.6388888555811718E-4</v>
      </c>
      <c r="R46" s="11">
        <f t="shared" si="13"/>
        <v>3.8541666581295431E-3</v>
      </c>
      <c r="S46" s="11">
        <f t="shared" si="14"/>
        <v>1.1527777765877545E-2</v>
      </c>
      <c r="T46" s="11">
        <f t="shared" si="15"/>
        <v>1.3449074067466427E-2</v>
      </c>
    </row>
    <row r="47" spans="1:20" x14ac:dyDescent="0.45">
      <c r="A47" s="3" t="s">
        <v>188</v>
      </c>
      <c r="B47" s="9">
        <v>96</v>
      </c>
      <c r="C47" s="3" t="s">
        <v>139</v>
      </c>
      <c r="D47" s="10">
        <v>45667.35</v>
      </c>
      <c r="E47" s="10">
        <v>45667.35</v>
      </c>
      <c r="F47" s="10">
        <v>45667.351817129631</v>
      </c>
      <c r="G47" s="10">
        <v>45667.351817129631</v>
      </c>
      <c r="H47" s="10">
        <v>45667.354594907411</v>
      </c>
      <c r="I47" s="10">
        <v>45667.355787037042</v>
      </c>
      <c r="J47" s="10">
        <v>45667.355787037042</v>
      </c>
      <c r="K47" s="10">
        <v>45667.35665509259</v>
      </c>
      <c r="L47" s="10">
        <v>45667.358854166669</v>
      </c>
      <c r="M47" s="11">
        <f t="shared" si="8"/>
        <v>0</v>
      </c>
      <c r="N47" s="11">
        <f t="shared" si="9"/>
        <v>1.8171296323998831E-3</v>
      </c>
      <c r="O47" s="11">
        <f t="shared" si="10"/>
        <v>2.7777777795563452E-3</v>
      </c>
      <c r="P47" s="11">
        <f t="shared" si="11"/>
        <v>1.1921296318178065E-3</v>
      </c>
      <c r="Q47" s="11">
        <f t="shared" si="12"/>
        <v>8.6805554747115821E-4</v>
      </c>
      <c r="R47" s="11">
        <f t="shared" si="13"/>
        <v>2.1990740788169205E-3</v>
      </c>
      <c r="S47" s="11">
        <f t="shared" si="14"/>
        <v>7.0370370376622304E-3</v>
      </c>
      <c r="T47" s="11">
        <f t="shared" si="15"/>
        <v>8.8541666700621136E-3</v>
      </c>
    </row>
    <row r="48" spans="1:20" x14ac:dyDescent="0.45">
      <c r="A48" s="3" t="s">
        <v>189</v>
      </c>
      <c r="B48" s="9">
        <v>176</v>
      </c>
      <c r="C48" s="3" t="s">
        <v>139</v>
      </c>
      <c r="D48" s="10">
        <v>45667.377083333333</v>
      </c>
      <c r="E48" s="10">
        <v>45667.377083333333</v>
      </c>
      <c r="F48" s="10">
        <v>45667.37908564815</v>
      </c>
      <c r="G48" s="10">
        <v>45667.37908564815</v>
      </c>
      <c r="H48" s="10">
        <v>45667.381863425922</v>
      </c>
      <c r="I48" s="10">
        <v>45667.38690972222</v>
      </c>
      <c r="J48" s="10">
        <v>45667.38690972222</v>
      </c>
      <c r="K48" s="10">
        <v>45667.387673611112</v>
      </c>
      <c r="L48" s="10">
        <v>45667.391365740739</v>
      </c>
      <c r="M48" s="11">
        <f t="shared" si="8"/>
        <v>0</v>
      </c>
      <c r="N48" s="11">
        <f t="shared" si="9"/>
        <v>2.0023148172185756E-3</v>
      </c>
      <c r="O48" s="11">
        <f t="shared" si="10"/>
        <v>2.7777777722803876E-3</v>
      </c>
      <c r="P48" s="11">
        <f t="shared" si="11"/>
        <v>5.0462962972233072E-3</v>
      </c>
      <c r="Q48" s="11">
        <f t="shared" si="12"/>
        <v>7.638888928340748E-4</v>
      </c>
      <c r="R48" s="11">
        <f t="shared" si="13"/>
        <v>3.6921296268701553E-3</v>
      </c>
      <c r="S48" s="11">
        <f t="shared" si="14"/>
        <v>1.2280092589207925E-2</v>
      </c>
      <c r="T48" s="11">
        <f t="shared" si="15"/>
        <v>1.4282407406426501E-2</v>
      </c>
    </row>
    <row r="49" spans="1:20" x14ac:dyDescent="0.45">
      <c r="A49" s="3" t="s">
        <v>190</v>
      </c>
      <c r="B49" s="9">
        <v>224</v>
      </c>
      <c r="C49" s="3" t="s">
        <v>139</v>
      </c>
      <c r="D49" s="10">
        <v>45667.541666666657</v>
      </c>
      <c r="E49" s="10">
        <v>45667.541666666657</v>
      </c>
      <c r="F49" s="10">
        <v>45667.543773148151</v>
      </c>
      <c r="G49" s="10">
        <v>45667.543773148151</v>
      </c>
      <c r="H49" s="10">
        <v>45667.546550925923</v>
      </c>
      <c r="I49" s="10">
        <v>45667.556203703702</v>
      </c>
      <c r="J49" s="10">
        <v>45667.556203703702</v>
      </c>
      <c r="K49" s="10">
        <v>45667.55741898148</v>
      </c>
      <c r="L49" s="10">
        <v>45667.5627662037</v>
      </c>
      <c r="M49" s="11">
        <f t="shared" si="8"/>
        <v>0</v>
      </c>
      <c r="N49" s="11">
        <f t="shared" si="9"/>
        <v>2.1064814936835319E-3</v>
      </c>
      <c r="O49" s="11">
        <f t="shared" si="10"/>
        <v>2.7777777722803876E-3</v>
      </c>
      <c r="P49" s="11">
        <f t="shared" si="11"/>
        <v>9.6527777786832303E-3</v>
      </c>
      <c r="Q49" s="11">
        <f t="shared" si="12"/>
        <v>1.2152777781011537E-3</v>
      </c>
      <c r="R49" s="11">
        <f t="shared" si="13"/>
        <v>5.3472222207346931E-3</v>
      </c>
      <c r="S49" s="11">
        <f t="shared" si="14"/>
        <v>1.8993055549799465E-2</v>
      </c>
      <c r="T49" s="11">
        <f t="shared" si="15"/>
        <v>2.1099537043482997E-2</v>
      </c>
    </row>
    <row r="50" spans="1:20" x14ac:dyDescent="0.45">
      <c r="A50" s="3" t="s">
        <v>191</v>
      </c>
      <c r="B50" s="9">
        <v>240</v>
      </c>
      <c r="C50" s="3" t="s">
        <v>141</v>
      </c>
      <c r="D50" s="10">
        <v>45667.541666666657</v>
      </c>
      <c r="E50" s="10">
        <v>45667.541666666657</v>
      </c>
      <c r="F50" s="10">
        <v>45667.543379629627</v>
      </c>
      <c r="G50" s="10">
        <v>45667.543379629627</v>
      </c>
      <c r="H50" s="10">
        <v>45667.546157407407</v>
      </c>
      <c r="I50" s="10">
        <v>45667.552152777767</v>
      </c>
      <c r="J50" s="10">
        <v>45667.552152777767</v>
      </c>
      <c r="K50" s="10">
        <v>45667.553032407413</v>
      </c>
      <c r="L50" s="10">
        <v>45667.556655092587</v>
      </c>
      <c r="M50" s="11">
        <f t="shared" si="8"/>
        <v>0</v>
      </c>
      <c r="N50" s="11">
        <f t="shared" si="9"/>
        <v>1.7129629704868421E-3</v>
      </c>
      <c r="O50" s="11">
        <f t="shared" si="10"/>
        <v>2.7777777795563452E-3</v>
      </c>
      <c r="P50" s="11">
        <f t="shared" si="11"/>
        <v>5.9953703603241593E-3</v>
      </c>
      <c r="Q50" s="11">
        <f t="shared" si="12"/>
        <v>8.7962964607868344E-4</v>
      </c>
      <c r="R50" s="11">
        <f t="shared" si="13"/>
        <v>3.6226851734681986E-3</v>
      </c>
      <c r="S50" s="11">
        <f t="shared" si="14"/>
        <v>1.3275462959427387E-2</v>
      </c>
      <c r="T50" s="11">
        <f t="shared" si="15"/>
        <v>1.4988425929914229E-2</v>
      </c>
    </row>
    <row r="51" spans="1:20" x14ac:dyDescent="0.45">
      <c r="A51" s="3" t="s">
        <v>192</v>
      </c>
      <c r="B51" s="9">
        <v>208</v>
      </c>
      <c r="C51" s="3" t="s">
        <v>139</v>
      </c>
      <c r="D51" s="10">
        <v>45667.625</v>
      </c>
      <c r="E51" s="10">
        <v>45667.625</v>
      </c>
      <c r="F51" s="10">
        <v>45667.627071759263</v>
      </c>
      <c r="G51" s="10">
        <v>45667.627071759263</v>
      </c>
      <c r="H51" s="10">
        <v>45667.629849537043</v>
      </c>
      <c r="I51" s="10">
        <v>45667.635625000003</v>
      </c>
      <c r="J51" s="10">
        <v>45667.635625000003</v>
      </c>
      <c r="K51" s="10">
        <v>45667.636493055557</v>
      </c>
      <c r="L51" s="10">
        <v>45667.639884259261</v>
      </c>
      <c r="M51" s="11">
        <f t="shared" si="8"/>
        <v>0</v>
      </c>
      <c r="N51" s="11">
        <f t="shared" si="9"/>
        <v>2.0717592633445747E-3</v>
      </c>
      <c r="O51" s="11">
        <f t="shared" si="10"/>
        <v>2.7777777795563452E-3</v>
      </c>
      <c r="P51" s="11">
        <f t="shared" si="11"/>
        <v>5.7754629597184248E-3</v>
      </c>
      <c r="Q51" s="11">
        <f t="shared" si="12"/>
        <v>8.6805555474711582E-4</v>
      </c>
      <c r="R51" s="11">
        <f t="shared" si="13"/>
        <v>3.3912037033587694E-3</v>
      </c>
      <c r="S51" s="11">
        <f t="shared" si="14"/>
        <v>1.2812499997380655E-2</v>
      </c>
      <c r="T51" s="11">
        <f t="shared" si="15"/>
        <v>1.488425926072523E-2</v>
      </c>
    </row>
    <row r="52" spans="1:20" x14ac:dyDescent="0.45">
      <c r="A52" s="3" t="s">
        <v>193</v>
      </c>
      <c r="B52" s="9">
        <v>160</v>
      </c>
      <c r="C52" s="3" t="s">
        <v>139</v>
      </c>
      <c r="D52" s="10">
        <v>45667.65347222222</v>
      </c>
      <c r="E52" s="10">
        <v>45667.65347222222</v>
      </c>
      <c r="F52" s="10">
        <v>45667.655428240738</v>
      </c>
      <c r="G52" s="10">
        <v>45667.655428240738</v>
      </c>
      <c r="H52" s="10">
        <v>45667.658206018517</v>
      </c>
      <c r="I52" s="10">
        <v>45667.660358796304</v>
      </c>
      <c r="J52" s="10">
        <v>45667.660358796304</v>
      </c>
      <c r="K52" s="10">
        <v>45667.661226851851</v>
      </c>
      <c r="L52" s="10">
        <v>45667.662719907406</v>
      </c>
      <c r="M52" s="11">
        <f t="shared" si="8"/>
        <v>0</v>
      </c>
      <c r="N52" s="11">
        <f t="shared" si="9"/>
        <v>1.9560185173759237E-3</v>
      </c>
      <c r="O52" s="11">
        <f t="shared" si="10"/>
        <v>2.7777777795563452E-3</v>
      </c>
      <c r="P52" s="11">
        <f t="shared" si="11"/>
        <v>2.1527777862502262E-3</v>
      </c>
      <c r="Q52" s="11">
        <f t="shared" si="12"/>
        <v>8.6805554747115821E-4</v>
      </c>
      <c r="R52" s="11">
        <f t="shared" si="13"/>
        <v>1.4930555553291924E-3</v>
      </c>
      <c r="S52" s="11">
        <f t="shared" si="14"/>
        <v>7.291666668606922E-3</v>
      </c>
      <c r="T52" s="11">
        <f t="shared" si="15"/>
        <v>9.2476851859828457E-3</v>
      </c>
    </row>
    <row r="53" spans="1:20" x14ac:dyDescent="0.45">
      <c r="A53" s="3" t="s">
        <v>194</v>
      </c>
      <c r="B53" s="9">
        <v>224</v>
      </c>
      <c r="C53" s="3" t="s">
        <v>139</v>
      </c>
      <c r="D53" s="10">
        <v>45667.675694444442</v>
      </c>
      <c r="E53" s="10">
        <v>45667.675694444442</v>
      </c>
      <c r="F53" s="10">
        <v>45667.677800925929</v>
      </c>
      <c r="G53" s="10">
        <v>45667.677800925929</v>
      </c>
      <c r="H53" s="10">
        <v>45667.680578703701</v>
      </c>
      <c r="I53" s="10">
        <v>45667.687013888892</v>
      </c>
      <c r="J53" s="10">
        <v>45667.687013888892</v>
      </c>
      <c r="K53" s="10">
        <v>45667.687881944446</v>
      </c>
      <c r="L53" s="10">
        <v>45667.691620370373</v>
      </c>
      <c r="M53" s="11">
        <f t="shared" si="8"/>
        <v>0</v>
      </c>
      <c r="N53" s="11">
        <f t="shared" si="9"/>
        <v>2.1064814864075743E-3</v>
      </c>
      <c r="O53" s="11">
        <f t="shared" si="10"/>
        <v>2.7777777722803876E-3</v>
      </c>
      <c r="P53" s="11">
        <f t="shared" si="11"/>
        <v>6.4351851906394586E-3</v>
      </c>
      <c r="Q53" s="11">
        <f t="shared" si="12"/>
        <v>8.6805555474711582E-4</v>
      </c>
      <c r="R53" s="11">
        <f t="shared" si="13"/>
        <v>3.7384259267128073E-3</v>
      </c>
      <c r="S53" s="11">
        <f t="shared" si="14"/>
        <v>1.3819444444379769E-2</v>
      </c>
      <c r="T53" s="11">
        <f t="shared" si="15"/>
        <v>1.5925925930787344E-2</v>
      </c>
    </row>
    <row r="54" spans="1:20" x14ac:dyDescent="0.45">
      <c r="A54" s="3" t="s">
        <v>195</v>
      </c>
      <c r="B54" s="9">
        <v>128</v>
      </c>
      <c r="C54" s="3" t="s">
        <v>139</v>
      </c>
      <c r="D54" s="10">
        <v>45667.70416666667</v>
      </c>
      <c r="E54" s="10">
        <v>45667.70416666667</v>
      </c>
      <c r="F54" s="10">
        <v>45667.706053240741</v>
      </c>
      <c r="G54" s="10">
        <v>45667.706053240741</v>
      </c>
      <c r="H54" s="10">
        <v>45667.708831018521</v>
      </c>
      <c r="I54" s="10">
        <v>45667.712152777778</v>
      </c>
      <c r="J54" s="10">
        <v>45667.712152777778</v>
      </c>
      <c r="K54" s="10">
        <v>45667.71303240741</v>
      </c>
      <c r="L54" s="10">
        <v>45667.715729166674</v>
      </c>
      <c r="M54" s="11">
        <f t="shared" si="8"/>
        <v>0</v>
      </c>
      <c r="N54" s="11">
        <f t="shared" si="9"/>
        <v>1.8865740712499246E-3</v>
      </c>
      <c r="O54" s="11">
        <f t="shared" si="10"/>
        <v>2.7777777795563452E-3</v>
      </c>
      <c r="P54" s="11">
        <f t="shared" si="11"/>
        <v>3.3217592572327703E-3</v>
      </c>
      <c r="Q54" s="11">
        <f t="shared" si="12"/>
        <v>8.7962963152676821E-4</v>
      </c>
      <c r="R54" s="11">
        <f t="shared" si="13"/>
        <v>2.6967592639266513E-3</v>
      </c>
      <c r="S54" s="11">
        <f t="shared" si="14"/>
        <v>9.6759259322425351E-3</v>
      </c>
      <c r="T54" s="11">
        <f t="shared" si="15"/>
        <v>1.156250000349246E-2</v>
      </c>
    </row>
    <row r="55" spans="1:20" x14ac:dyDescent="0.45">
      <c r="A55" s="3" t="s">
        <v>196</v>
      </c>
      <c r="B55" s="9">
        <v>144</v>
      </c>
      <c r="C55" s="3" t="s">
        <v>139</v>
      </c>
      <c r="D55" s="10">
        <v>45667.833333333343</v>
      </c>
      <c r="E55" s="10">
        <v>45667.833333333343</v>
      </c>
      <c r="F55" s="10">
        <v>45667.83525462963</v>
      </c>
      <c r="G55" s="10">
        <v>45667.83525462963</v>
      </c>
      <c r="H55" s="10">
        <v>45667.83803240741</v>
      </c>
      <c r="I55" s="10">
        <v>45667.840104166673</v>
      </c>
      <c r="J55" s="10">
        <v>45667.840104166673</v>
      </c>
      <c r="K55" s="10">
        <v>45667.84097222222</v>
      </c>
      <c r="L55" s="10">
        <v>45667.843761574077</v>
      </c>
      <c r="M55" s="11">
        <f t="shared" si="8"/>
        <v>0</v>
      </c>
      <c r="N55" s="11">
        <f t="shared" si="9"/>
        <v>1.9212962870369665E-3</v>
      </c>
      <c r="O55" s="11">
        <f t="shared" si="10"/>
        <v>2.7777777795563452E-3</v>
      </c>
      <c r="P55" s="11">
        <f t="shared" si="11"/>
        <v>2.0717592633445747E-3</v>
      </c>
      <c r="Q55" s="11">
        <f t="shared" si="12"/>
        <v>8.6805554747115821E-4</v>
      </c>
      <c r="R55" s="11">
        <f t="shared" si="13"/>
        <v>2.7893518563359976E-3</v>
      </c>
      <c r="S55" s="11">
        <f t="shared" si="14"/>
        <v>8.5069444467080757E-3</v>
      </c>
      <c r="T55" s="11">
        <f t="shared" si="15"/>
        <v>1.0428240733745042E-2</v>
      </c>
    </row>
    <row r="56" spans="1:20" x14ac:dyDescent="0.45">
      <c r="A56" s="3" t="s">
        <v>197</v>
      </c>
      <c r="B56" s="9">
        <v>96</v>
      </c>
      <c r="C56" s="3" t="s">
        <v>139</v>
      </c>
      <c r="D56" s="10">
        <v>45667.9375</v>
      </c>
      <c r="E56" s="10">
        <v>45667.9375</v>
      </c>
      <c r="F56" s="10">
        <v>45667.939317129632</v>
      </c>
      <c r="G56" s="10">
        <v>45667.939317129632</v>
      </c>
      <c r="H56" s="10">
        <v>45667.942094907397</v>
      </c>
      <c r="I56" s="10">
        <v>45667.94458333333</v>
      </c>
      <c r="J56" s="10">
        <v>45667.94458333333</v>
      </c>
      <c r="K56" s="10">
        <v>45667.945462962962</v>
      </c>
      <c r="L56" s="10">
        <v>45667.949247685188</v>
      </c>
      <c r="M56" s="11">
        <f t="shared" si="8"/>
        <v>0</v>
      </c>
      <c r="N56" s="11">
        <f t="shared" si="9"/>
        <v>1.8171296323998831E-3</v>
      </c>
      <c r="O56" s="11">
        <f t="shared" si="10"/>
        <v>2.77777776500443E-3</v>
      </c>
      <c r="P56" s="11">
        <f t="shared" si="11"/>
        <v>2.4884259328246117E-3</v>
      </c>
      <c r="Q56" s="11">
        <f t="shared" si="12"/>
        <v>8.7962963152676821E-4</v>
      </c>
      <c r="R56" s="11">
        <f t="shared" si="13"/>
        <v>3.7847222265554592E-3</v>
      </c>
      <c r="S56" s="11">
        <f t="shared" si="14"/>
        <v>9.930555555911269E-3</v>
      </c>
      <c r="T56" s="11">
        <f t="shared" si="15"/>
        <v>1.1747685188311152E-2</v>
      </c>
    </row>
    <row r="57" spans="1:20" x14ac:dyDescent="0.45">
      <c r="A57" s="3" t="s">
        <v>198</v>
      </c>
      <c r="B57" s="9">
        <v>112</v>
      </c>
      <c r="C57" s="3" t="s">
        <v>139</v>
      </c>
      <c r="D57" s="10">
        <v>45668.25</v>
      </c>
      <c r="E57" s="10">
        <v>45668.25</v>
      </c>
      <c r="F57" s="10">
        <v>45668.251851851863</v>
      </c>
      <c r="G57" s="10">
        <v>45668.251851851863</v>
      </c>
      <c r="H57" s="10">
        <v>45668.254629629628</v>
      </c>
      <c r="I57" s="10">
        <v>45668.256238425929</v>
      </c>
      <c r="J57" s="10">
        <v>45668.256238425929</v>
      </c>
      <c r="K57" s="10">
        <v>45668.257106481477</v>
      </c>
      <c r="L57" s="10">
        <v>45668.258634259262</v>
      </c>
      <c r="M57" s="11">
        <f t="shared" si="8"/>
        <v>0</v>
      </c>
      <c r="N57" s="11">
        <f t="shared" si="9"/>
        <v>1.8518518627388403E-3</v>
      </c>
      <c r="O57" s="11">
        <f t="shared" si="10"/>
        <v>2.77777776500443E-3</v>
      </c>
      <c r="P57" s="11">
        <f t="shared" si="11"/>
        <v>1.6087963012978435E-3</v>
      </c>
      <c r="Q57" s="11">
        <f t="shared" si="12"/>
        <v>8.6805554747115821E-4</v>
      </c>
      <c r="R57" s="11">
        <f t="shared" si="13"/>
        <v>1.5277777856681496E-3</v>
      </c>
      <c r="S57" s="11">
        <f t="shared" si="14"/>
        <v>6.7824073994415812E-3</v>
      </c>
      <c r="T57" s="11">
        <f t="shared" si="15"/>
        <v>8.6342592621804215E-3</v>
      </c>
    </row>
    <row r="58" spans="1:20" x14ac:dyDescent="0.45">
      <c r="A58" s="3" t="s">
        <v>199</v>
      </c>
      <c r="B58" s="9">
        <v>128</v>
      </c>
      <c r="C58" s="3" t="s">
        <v>139</v>
      </c>
      <c r="D58" s="10">
        <v>45668.259027777778</v>
      </c>
      <c r="E58" s="10">
        <v>45668.259027777778</v>
      </c>
      <c r="F58" s="10">
        <v>45668.260914351849</v>
      </c>
      <c r="G58" s="10">
        <v>45668.260914351849</v>
      </c>
      <c r="H58" s="10">
        <v>45668.263692129629</v>
      </c>
      <c r="I58" s="10">
        <v>45668.267013888893</v>
      </c>
      <c r="J58" s="10">
        <v>45668.267013888893</v>
      </c>
      <c r="K58" s="10">
        <v>45668.267893518518</v>
      </c>
      <c r="L58" s="10">
        <v>45668.271111111113</v>
      </c>
      <c r="M58" s="11">
        <f t="shared" si="8"/>
        <v>0</v>
      </c>
      <c r="N58" s="11">
        <f t="shared" si="9"/>
        <v>1.8865740712499246E-3</v>
      </c>
      <c r="O58" s="11">
        <f t="shared" si="10"/>
        <v>2.7777777795563452E-3</v>
      </c>
      <c r="P58" s="11">
        <f t="shared" si="11"/>
        <v>3.3217592645087279E-3</v>
      </c>
      <c r="Q58" s="11">
        <f t="shared" si="12"/>
        <v>8.7962962425081059E-4</v>
      </c>
      <c r="R58" s="11">
        <f t="shared" si="13"/>
        <v>3.2175925953197293E-3</v>
      </c>
      <c r="S58" s="11">
        <f t="shared" si="14"/>
        <v>1.0196759263635613E-2</v>
      </c>
      <c r="T58" s="11">
        <f t="shared" si="15"/>
        <v>1.2083333334885538E-2</v>
      </c>
    </row>
    <row r="59" spans="1:20" x14ac:dyDescent="0.45">
      <c r="A59" s="3" t="s">
        <v>200</v>
      </c>
      <c r="B59" s="9">
        <v>128</v>
      </c>
      <c r="C59" s="3" t="s">
        <v>139</v>
      </c>
      <c r="D59" s="10">
        <v>45668.271527777782</v>
      </c>
      <c r="E59" s="10">
        <v>45668.271527777782</v>
      </c>
      <c r="F59" s="10">
        <v>45668.273414351846</v>
      </c>
      <c r="G59" s="10">
        <v>45668.273414351846</v>
      </c>
      <c r="H59" s="10">
        <v>45668.276192129633</v>
      </c>
      <c r="I59" s="10">
        <v>45668.278032407397</v>
      </c>
      <c r="J59" s="10">
        <v>45668.278032407397</v>
      </c>
      <c r="K59" s="10">
        <v>45668.278900462959</v>
      </c>
      <c r="L59" s="10">
        <v>45668.280243055553</v>
      </c>
      <c r="M59" s="11">
        <f t="shared" si="8"/>
        <v>0</v>
      </c>
      <c r="N59" s="11">
        <f t="shared" si="9"/>
        <v>1.886574063973967E-3</v>
      </c>
      <c r="O59" s="11">
        <f t="shared" si="10"/>
        <v>2.7777777868323028E-3</v>
      </c>
      <c r="P59" s="11">
        <f t="shared" si="11"/>
        <v>1.8402777641313151E-3</v>
      </c>
      <c r="Q59" s="11">
        <f t="shared" si="12"/>
        <v>8.6805556202307343E-4</v>
      </c>
      <c r="R59" s="11">
        <f t="shared" si="13"/>
        <v>1.3425925935734995E-3</v>
      </c>
      <c r="S59" s="11">
        <f t="shared" si="14"/>
        <v>6.8287037065601908E-3</v>
      </c>
      <c r="T59" s="11">
        <f t="shared" si="15"/>
        <v>8.7152777705341578E-3</v>
      </c>
    </row>
    <row r="60" spans="1:20" x14ac:dyDescent="0.45">
      <c r="A60" s="3" t="s">
        <v>201</v>
      </c>
      <c r="B60" s="9">
        <v>112</v>
      </c>
      <c r="C60" s="3" t="s">
        <v>139</v>
      </c>
      <c r="D60" s="10">
        <v>45668.288888888892</v>
      </c>
      <c r="E60" s="10">
        <v>45668.288888888892</v>
      </c>
      <c r="F60" s="10">
        <v>45668.29074074074</v>
      </c>
      <c r="G60" s="10">
        <v>45668.29074074074</v>
      </c>
      <c r="H60" s="10">
        <v>45668.29351851852</v>
      </c>
      <c r="I60" s="10">
        <v>45668.294965277782</v>
      </c>
      <c r="J60" s="10">
        <v>45668.294965277782</v>
      </c>
      <c r="K60" s="10">
        <v>45668.295844907407</v>
      </c>
      <c r="L60" s="10">
        <v>45668.297256944446</v>
      </c>
      <c r="M60" s="11">
        <f t="shared" si="8"/>
        <v>0</v>
      </c>
      <c r="N60" s="11">
        <f t="shared" si="9"/>
        <v>1.8518518481869251E-3</v>
      </c>
      <c r="O60" s="11">
        <f t="shared" si="10"/>
        <v>2.7777777795563452E-3</v>
      </c>
      <c r="P60" s="11">
        <f t="shared" si="11"/>
        <v>1.4467592627624981E-3</v>
      </c>
      <c r="Q60" s="11">
        <f t="shared" si="12"/>
        <v>8.7962962425081059E-4</v>
      </c>
      <c r="R60" s="11">
        <f t="shared" si="13"/>
        <v>1.4120370396994986E-3</v>
      </c>
      <c r="S60" s="11">
        <f t="shared" si="14"/>
        <v>6.5162037062691525E-3</v>
      </c>
      <c r="T60" s="11">
        <f t="shared" si="15"/>
        <v>8.3680555544560775E-3</v>
      </c>
    </row>
    <row r="61" spans="1:20" x14ac:dyDescent="0.45">
      <c r="A61" s="3" t="s">
        <v>202</v>
      </c>
      <c r="B61" s="9">
        <v>112</v>
      </c>
      <c r="C61" s="3" t="s">
        <v>139</v>
      </c>
      <c r="D61" s="10">
        <v>45668.303472222222</v>
      </c>
      <c r="E61" s="10">
        <v>45668.303472222222</v>
      </c>
      <c r="F61" s="10">
        <v>45668.305324074077</v>
      </c>
      <c r="G61" s="10">
        <v>45668.305324074077</v>
      </c>
      <c r="H61" s="10">
        <v>45668.30810185185</v>
      </c>
      <c r="I61" s="10">
        <v>45668.311215277783</v>
      </c>
      <c r="J61" s="10">
        <v>45668.311215277783</v>
      </c>
      <c r="K61" s="10">
        <v>45668.312083333331</v>
      </c>
      <c r="L61" s="10">
        <v>45668.315671296303</v>
      </c>
      <c r="M61" s="11">
        <f t="shared" si="8"/>
        <v>0</v>
      </c>
      <c r="N61" s="11">
        <f t="shared" si="9"/>
        <v>1.8518518554628827E-3</v>
      </c>
      <c r="O61" s="11">
        <f t="shared" si="10"/>
        <v>2.7777777722803876E-3</v>
      </c>
      <c r="P61" s="11">
        <f t="shared" si="11"/>
        <v>3.1134259334066883E-3</v>
      </c>
      <c r="Q61" s="11">
        <f t="shared" si="12"/>
        <v>8.6805554747115821E-4</v>
      </c>
      <c r="R61" s="11">
        <f t="shared" si="13"/>
        <v>3.5879629722330719E-3</v>
      </c>
      <c r="S61" s="11">
        <f t="shared" si="14"/>
        <v>1.0347222225391306E-2</v>
      </c>
      <c r="T61" s="11">
        <f t="shared" si="15"/>
        <v>1.2199074080854189E-2</v>
      </c>
    </row>
    <row r="62" spans="1:20" x14ac:dyDescent="0.45">
      <c r="A62" s="3" t="s">
        <v>203</v>
      </c>
      <c r="B62" s="9">
        <v>112</v>
      </c>
      <c r="C62" s="3" t="s">
        <v>139</v>
      </c>
      <c r="D62" s="10">
        <v>45668.5</v>
      </c>
      <c r="E62" s="10">
        <v>45668.5</v>
      </c>
      <c r="F62" s="10">
        <v>45668.501851851863</v>
      </c>
      <c r="G62" s="10">
        <v>45668.501851851863</v>
      </c>
      <c r="H62" s="10">
        <v>45668.504629629628</v>
      </c>
      <c r="I62" s="10">
        <v>45668.50613425926</v>
      </c>
      <c r="J62" s="10">
        <v>45668.50613425926</v>
      </c>
      <c r="K62" s="10">
        <v>45668.507013888891</v>
      </c>
      <c r="L62" s="10">
        <v>45668.509421296287</v>
      </c>
      <c r="M62" s="11">
        <f t="shared" si="8"/>
        <v>0</v>
      </c>
      <c r="N62" s="11">
        <f t="shared" si="9"/>
        <v>1.8518518627388403E-3</v>
      </c>
      <c r="O62" s="11">
        <f t="shared" si="10"/>
        <v>2.77777776500443E-3</v>
      </c>
      <c r="P62" s="11">
        <f t="shared" si="11"/>
        <v>1.5046296321088448E-3</v>
      </c>
      <c r="Q62" s="11">
        <f t="shared" si="12"/>
        <v>8.7962963152676821E-4</v>
      </c>
      <c r="R62" s="11">
        <f t="shared" si="13"/>
        <v>2.407407395367045E-3</v>
      </c>
      <c r="S62" s="11">
        <f t="shared" si="14"/>
        <v>7.5694444240070879E-3</v>
      </c>
      <c r="T62" s="11">
        <f t="shared" si="15"/>
        <v>9.4212962867459282E-3</v>
      </c>
    </row>
    <row r="63" spans="1:20" x14ac:dyDescent="0.45">
      <c r="A63" s="3" t="s">
        <v>204</v>
      </c>
      <c r="B63" s="9">
        <v>144</v>
      </c>
      <c r="C63" s="3" t="s">
        <v>139</v>
      </c>
      <c r="D63" s="10">
        <v>45668.511805555558</v>
      </c>
      <c r="E63" s="10">
        <v>45668.511805555558</v>
      </c>
      <c r="F63" s="10">
        <v>45668.513726851852</v>
      </c>
      <c r="G63" s="10">
        <v>45668.513726851852</v>
      </c>
      <c r="H63" s="10">
        <v>45668.516504629632</v>
      </c>
      <c r="I63" s="10">
        <v>45668.518506944441</v>
      </c>
      <c r="J63" s="10">
        <v>45668.518506944441</v>
      </c>
      <c r="K63" s="10">
        <v>45668.519375000003</v>
      </c>
      <c r="L63" s="10">
        <v>45668.521956018521</v>
      </c>
      <c r="M63" s="11">
        <f t="shared" si="8"/>
        <v>0</v>
      </c>
      <c r="N63" s="11">
        <f t="shared" si="9"/>
        <v>1.9212962943129241E-3</v>
      </c>
      <c r="O63" s="11">
        <f t="shared" si="10"/>
        <v>2.7777777795563452E-3</v>
      </c>
      <c r="P63" s="11">
        <f t="shared" si="11"/>
        <v>2.002314809942618E-3</v>
      </c>
      <c r="Q63" s="11">
        <f t="shared" si="12"/>
        <v>8.6805556202307343E-4</v>
      </c>
      <c r="R63" s="11">
        <f t="shared" si="13"/>
        <v>2.5810185179580003E-3</v>
      </c>
      <c r="S63" s="11">
        <f t="shared" si="14"/>
        <v>8.2291666694800369E-3</v>
      </c>
      <c r="T63" s="11">
        <f t="shared" si="15"/>
        <v>1.0150462963792961E-2</v>
      </c>
    </row>
    <row r="64" spans="1:20" x14ac:dyDescent="0.45">
      <c r="A64" s="3" t="s">
        <v>205</v>
      </c>
      <c r="B64" s="9">
        <v>112</v>
      </c>
      <c r="C64" s="3" t="s">
        <v>141</v>
      </c>
      <c r="D64" s="10">
        <v>45668.521527777782</v>
      </c>
      <c r="E64" s="10">
        <v>45668.521527777782</v>
      </c>
      <c r="F64" s="10">
        <v>45668.522939814808</v>
      </c>
      <c r="G64" s="10">
        <v>45668.522939814808</v>
      </c>
      <c r="H64" s="10">
        <v>45668.525717592587</v>
      </c>
      <c r="I64" s="10">
        <v>45668.527222222219</v>
      </c>
      <c r="J64" s="10">
        <v>45668.527222222219</v>
      </c>
      <c r="K64" s="10">
        <v>45668.528090277781</v>
      </c>
      <c r="L64" s="10">
        <v>45668.529074074067</v>
      </c>
      <c r="M64" s="11">
        <f t="shared" si="8"/>
        <v>0</v>
      </c>
      <c r="N64" s="11">
        <f t="shared" si="9"/>
        <v>1.4120370251475833E-3</v>
      </c>
      <c r="O64" s="11">
        <f t="shared" si="10"/>
        <v>2.7777777795563452E-3</v>
      </c>
      <c r="P64" s="11">
        <f t="shared" si="11"/>
        <v>1.5046296321088448E-3</v>
      </c>
      <c r="Q64" s="11">
        <f t="shared" si="12"/>
        <v>8.6805556202307343E-4</v>
      </c>
      <c r="R64" s="11">
        <f t="shared" si="13"/>
        <v>9.8379628616385162E-4</v>
      </c>
      <c r="S64" s="11">
        <f t="shared" si="14"/>
        <v>6.1342592598521151E-3</v>
      </c>
      <c r="T64" s="11">
        <f t="shared" si="15"/>
        <v>7.5462962849996984E-3</v>
      </c>
    </row>
    <row r="65" spans="1:20" x14ac:dyDescent="0.45">
      <c r="A65" s="3" t="s">
        <v>206</v>
      </c>
      <c r="B65" s="9">
        <v>128</v>
      </c>
      <c r="C65" s="3" t="s">
        <v>139</v>
      </c>
      <c r="D65" s="10">
        <v>45668.525000000001</v>
      </c>
      <c r="E65" s="10">
        <v>45668.525000000001</v>
      </c>
      <c r="F65" s="10">
        <v>45668.526886574073</v>
      </c>
      <c r="G65" s="10">
        <v>45668.526886574073</v>
      </c>
      <c r="H65" s="10">
        <v>45668.529664351852</v>
      </c>
      <c r="I65" s="10">
        <v>45668.533217592587</v>
      </c>
      <c r="J65" s="10">
        <v>45668.533217592587</v>
      </c>
      <c r="K65" s="10">
        <v>45668.534085648149</v>
      </c>
      <c r="L65" s="10">
        <v>45668.538101851853</v>
      </c>
      <c r="M65" s="11">
        <f t="shared" si="8"/>
        <v>0</v>
      </c>
      <c r="N65" s="11">
        <f t="shared" si="9"/>
        <v>1.8865740712499246E-3</v>
      </c>
      <c r="O65" s="11">
        <f t="shared" si="10"/>
        <v>2.7777777795563452E-3</v>
      </c>
      <c r="P65" s="11">
        <f t="shared" si="11"/>
        <v>3.5532407346181571E-3</v>
      </c>
      <c r="Q65" s="11">
        <f t="shared" si="12"/>
        <v>8.6805556202307343E-4</v>
      </c>
      <c r="R65" s="11">
        <f t="shared" si="13"/>
        <v>4.016203703940846E-3</v>
      </c>
      <c r="S65" s="11">
        <f t="shared" si="14"/>
        <v>1.1215277780138422E-2</v>
      </c>
      <c r="T65" s="11">
        <f t="shared" si="15"/>
        <v>1.3101851851388346E-2</v>
      </c>
    </row>
    <row r="66" spans="1:20" x14ac:dyDescent="0.45">
      <c r="A66" s="3" t="s">
        <v>207</v>
      </c>
      <c r="B66" s="9">
        <v>208</v>
      </c>
      <c r="C66" s="3" t="s">
        <v>141</v>
      </c>
      <c r="D66" s="10">
        <v>45668.536111111112</v>
      </c>
      <c r="E66" s="10">
        <v>45668.536111111112</v>
      </c>
      <c r="F66" s="10">
        <v>45668.537743055553</v>
      </c>
      <c r="G66" s="10">
        <v>45668.537743055553</v>
      </c>
      <c r="H66" s="10">
        <v>45668.540520833332</v>
      </c>
      <c r="I66" s="10">
        <v>45668.546296296299</v>
      </c>
      <c r="J66" s="10">
        <v>45668.546296296299</v>
      </c>
      <c r="K66" s="10">
        <v>45668.547164351847</v>
      </c>
      <c r="L66" s="10">
        <v>45668.551203703697</v>
      </c>
      <c r="M66" s="11">
        <f t="shared" ref="M66:M78" si="16">IF(AND(ISNUMBER(D66),ISNUMBER(E66)),(E66-D66),"")</f>
        <v>0</v>
      </c>
      <c r="N66" s="11">
        <f t="shared" ref="N66:N78" si="17">IF(AND(ISNUMBER(E66),ISNUMBER(F66)),(F66-E66),"")</f>
        <v>1.631944440305233E-3</v>
      </c>
      <c r="O66" s="11">
        <f t="shared" ref="O66:O78" si="18">IF(AND(ISNUMBER(G66),ISNUMBER(H66)),(H66-G66),"")</f>
        <v>2.7777777795563452E-3</v>
      </c>
      <c r="P66" s="11">
        <f t="shared" ref="P66:P78" si="19">IF(AND(ISNUMBER(H66),ISNUMBER(I66)),(I66-H66),"")</f>
        <v>5.7754629669943824E-3</v>
      </c>
      <c r="Q66" s="11">
        <f t="shared" ref="Q66:Q78" si="20">IF(AND(ISNUMBER(J66),ISNUMBER(K66)),(K66-J66),"")</f>
        <v>8.6805554747115821E-4</v>
      </c>
      <c r="R66" s="11">
        <f t="shared" ref="R66:R78" si="21">IF(AND(ISNUMBER(K66),ISNUMBER(L66)),(L66-K66),"")</f>
        <v>4.0393518502241932E-3</v>
      </c>
      <c r="S66" s="11">
        <f t="shared" ref="S66:S78" si="22">IF(AND(ISNUMBER(F66),ISNUMBER(L66)),(L66-F66),"")</f>
        <v>1.3460648144246079E-2</v>
      </c>
      <c r="T66" s="11">
        <f t="shared" ref="T66:T78" si="23">IF(AND(ISNUMBER(D66),ISNUMBER(L66)),(L66-D66),"")</f>
        <v>1.5092592584551312E-2</v>
      </c>
    </row>
    <row r="67" spans="1:20" x14ac:dyDescent="0.45">
      <c r="A67" s="3" t="s">
        <v>208</v>
      </c>
      <c r="B67" s="9">
        <v>96</v>
      </c>
      <c r="C67" s="3" t="s">
        <v>139</v>
      </c>
      <c r="D67" s="10">
        <v>45668.544444444437</v>
      </c>
      <c r="E67" s="10">
        <v>45668.544444444437</v>
      </c>
      <c r="F67" s="10">
        <v>45668.546261574083</v>
      </c>
      <c r="G67" s="10">
        <v>45668.546261574083</v>
      </c>
      <c r="H67" s="10">
        <v>45668.549039351848</v>
      </c>
      <c r="I67" s="10">
        <v>45668.550416666672</v>
      </c>
      <c r="J67" s="10">
        <v>45668.550416666672</v>
      </c>
      <c r="K67" s="10">
        <v>45668.552083333343</v>
      </c>
      <c r="L67" s="10">
        <v>45668.554097222222</v>
      </c>
      <c r="M67" s="11">
        <f t="shared" si="16"/>
        <v>0</v>
      </c>
      <c r="N67" s="11">
        <f t="shared" si="17"/>
        <v>1.8171296469517983E-3</v>
      </c>
      <c r="O67" s="11">
        <f t="shared" si="18"/>
        <v>2.77777776500443E-3</v>
      </c>
      <c r="P67" s="11">
        <f t="shared" si="19"/>
        <v>1.3773148239124566E-3</v>
      </c>
      <c r="Q67" s="11">
        <f t="shared" si="20"/>
        <v>1.6666666706441902E-3</v>
      </c>
      <c r="R67" s="11">
        <f t="shared" si="21"/>
        <v>2.0138888794463128E-3</v>
      </c>
      <c r="S67" s="11">
        <f t="shared" si="22"/>
        <v>7.8356481390073895E-3</v>
      </c>
      <c r="T67" s="11">
        <f t="shared" si="23"/>
        <v>9.6527777859591879E-3</v>
      </c>
    </row>
    <row r="68" spans="1:20" x14ac:dyDescent="0.45">
      <c r="A68" s="3" t="s">
        <v>209</v>
      </c>
      <c r="B68" s="9">
        <v>80</v>
      </c>
      <c r="C68" s="3" t="s">
        <v>139</v>
      </c>
      <c r="D68" s="10">
        <v>45668.75</v>
      </c>
      <c r="E68" s="10">
        <v>45668.75</v>
      </c>
      <c r="F68" s="10">
        <v>45668.751770833333</v>
      </c>
      <c r="G68" s="10">
        <v>45668.751770833333</v>
      </c>
      <c r="H68" s="10">
        <v>45668.754548611112</v>
      </c>
      <c r="I68" s="10">
        <v>45668.755740740737</v>
      </c>
      <c r="J68" s="10">
        <v>45668.755740740737</v>
      </c>
      <c r="K68" s="10">
        <v>45668.756504629629</v>
      </c>
      <c r="L68" s="10">
        <v>45668.758564814823</v>
      </c>
      <c r="M68" s="11">
        <f t="shared" si="16"/>
        <v>0</v>
      </c>
      <c r="N68" s="11">
        <f t="shared" si="17"/>
        <v>1.7708333325572312E-3</v>
      </c>
      <c r="O68" s="11">
        <f t="shared" si="18"/>
        <v>2.7777777795563452E-3</v>
      </c>
      <c r="P68" s="11">
        <f t="shared" si="19"/>
        <v>1.1921296245418489E-3</v>
      </c>
      <c r="Q68" s="11">
        <f t="shared" si="20"/>
        <v>7.638888928340748E-4</v>
      </c>
      <c r="R68" s="11">
        <f t="shared" si="21"/>
        <v>2.0601851938408799E-3</v>
      </c>
      <c r="S68" s="11">
        <f t="shared" si="22"/>
        <v>6.7939814907731488E-3</v>
      </c>
      <c r="T68" s="11">
        <f t="shared" si="23"/>
        <v>8.56481482333038E-3</v>
      </c>
    </row>
    <row r="69" spans="1:20" x14ac:dyDescent="0.45">
      <c r="A69" s="3" t="s">
        <v>210</v>
      </c>
      <c r="B69" s="9">
        <v>304</v>
      </c>
      <c r="C69" s="3" t="s">
        <v>139</v>
      </c>
      <c r="D69" s="10">
        <v>45668.875</v>
      </c>
      <c r="E69" s="10">
        <v>45668.875</v>
      </c>
      <c r="F69" s="10">
        <v>45668.877291666657</v>
      </c>
      <c r="G69" s="10">
        <v>45668.877291666657</v>
      </c>
      <c r="H69" s="10">
        <v>45668.880069444444</v>
      </c>
      <c r="I69" s="10">
        <v>45668.887673611112</v>
      </c>
      <c r="J69" s="10">
        <v>45668.887673611112</v>
      </c>
      <c r="K69" s="10">
        <v>45668.888553240737</v>
      </c>
      <c r="L69" s="10">
        <v>45668.892453703702</v>
      </c>
      <c r="M69" s="11">
        <f t="shared" si="16"/>
        <v>0</v>
      </c>
      <c r="N69" s="11">
        <f t="shared" si="17"/>
        <v>2.2916666566743515E-3</v>
      </c>
      <c r="O69" s="11">
        <f t="shared" si="18"/>
        <v>2.7777777868323028E-3</v>
      </c>
      <c r="P69" s="11">
        <f t="shared" si="19"/>
        <v>7.6041666688979603E-3</v>
      </c>
      <c r="Q69" s="11">
        <f t="shared" si="20"/>
        <v>8.7962962425081059E-4</v>
      </c>
      <c r="R69" s="11">
        <f t="shared" si="21"/>
        <v>3.9004629652481526E-3</v>
      </c>
      <c r="S69" s="11">
        <f t="shared" si="22"/>
        <v>1.5162037045229226E-2</v>
      </c>
      <c r="T69" s="11">
        <f t="shared" si="23"/>
        <v>1.7453703701903578E-2</v>
      </c>
    </row>
    <row r="70" spans="1:20" x14ac:dyDescent="0.45">
      <c r="A70" s="3" t="s">
        <v>211</v>
      </c>
      <c r="B70" s="9">
        <v>160</v>
      </c>
      <c r="C70" s="3" t="s">
        <v>139</v>
      </c>
      <c r="D70" s="10">
        <v>45668.979166666657</v>
      </c>
      <c r="E70" s="10">
        <v>45668.979166666657</v>
      </c>
      <c r="F70" s="10">
        <v>45668.981122685182</v>
      </c>
      <c r="G70" s="10">
        <v>45668.981122685182</v>
      </c>
      <c r="H70" s="10">
        <v>45668.983900462961</v>
      </c>
      <c r="I70" s="10">
        <v>45668.986273148148</v>
      </c>
      <c r="J70" s="10">
        <v>45668.986273148148</v>
      </c>
      <c r="K70" s="10">
        <v>45668.987037037034</v>
      </c>
      <c r="L70" s="10">
        <v>45668.989560185182</v>
      </c>
      <c r="M70" s="11">
        <f t="shared" si="16"/>
        <v>0</v>
      </c>
      <c r="N70" s="11">
        <f t="shared" si="17"/>
        <v>1.9560185246518813E-3</v>
      </c>
      <c r="O70" s="11">
        <f t="shared" si="18"/>
        <v>2.7777777795563452E-3</v>
      </c>
      <c r="P70" s="11">
        <f t="shared" si="19"/>
        <v>2.3726851868559606E-3</v>
      </c>
      <c r="Q70" s="11">
        <f t="shared" si="20"/>
        <v>7.6388888555811718E-4</v>
      </c>
      <c r="R70" s="11">
        <f t="shared" si="21"/>
        <v>2.5231481486116536E-3</v>
      </c>
      <c r="S70" s="11">
        <f t="shared" si="22"/>
        <v>8.4375000005820766E-3</v>
      </c>
      <c r="T70" s="11">
        <f t="shared" si="23"/>
        <v>1.0393518525233958E-2</v>
      </c>
    </row>
    <row r="71" spans="1:20" x14ac:dyDescent="0.45">
      <c r="A71" s="3" t="s">
        <v>212</v>
      </c>
      <c r="B71" s="9">
        <v>208</v>
      </c>
      <c r="C71" s="3" t="s">
        <v>139</v>
      </c>
      <c r="D71" s="10">
        <v>45669.333333333343</v>
      </c>
      <c r="E71" s="10">
        <v>45669.333333333343</v>
      </c>
      <c r="F71" s="10">
        <v>45669.335405092592</v>
      </c>
      <c r="G71" s="10">
        <v>45669.335405092592</v>
      </c>
      <c r="H71" s="10">
        <v>45669.338182870371</v>
      </c>
      <c r="I71" s="10">
        <v>45669.345983796287</v>
      </c>
      <c r="J71" s="10">
        <v>45669.345983796287</v>
      </c>
      <c r="K71" s="10">
        <v>45669.346863425933</v>
      </c>
      <c r="L71" s="10">
        <v>45669.351134259261</v>
      </c>
      <c r="M71" s="11">
        <f t="shared" si="16"/>
        <v>0</v>
      </c>
      <c r="N71" s="11">
        <f t="shared" si="17"/>
        <v>2.0717592487926595E-3</v>
      </c>
      <c r="O71" s="11">
        <f t="shared" si="18"/>
        <v>2.7777777795563452E-3</v>
      </c>
      <c r="P71" s="11">
        <f t="shared" si="19"/>
        <v>7.80092591594439E-3</v>
      </c>
      <c r="Q71" s="11">
        <f t="shared" si="20"/>
        <v>8.7962964607868344E-4</v>
      </c>
      <c r="R71" s="11">
        <f t="shared" si="21"/>
        <v>4.27083332760958E-3</v>
      </c>
      <c r="S71" s="11">
        <f t="shared" si="22"/>
        <v>1.5729166669188999E-2</v>
      </c>
      <c r="T71" s="11">
        <f t="shared" si="23"/>
        <v>1.7800925917981658E-2</v>
      </c>
    </row>
    <row r="72" spans="1:20" x14ac:dyDescent="0.45">
      <c r="A72" s="3" t="s">
        <v>213</v>
      </c>
      <c r="B72" s="9">
        <v>176</v>
      </c>
      <c r="C72" s="3" t="s">
        <v>139</v>
      </c>
      <c r="D72" s="10">
        <v>45669.392361111109</v>
      </c>
      <c r="E72" s="10">
        <v>45669.392361111109</v>
      </c>
      <c r="F72" s="10">
        <v>45669.394363425927</v>
      </c>
      <c r="G72" s="10">
        <v>45669.394363425927</v>
      </c>
      <c r="H72" s="10">
        <v>45669.397141203714</v>
      </c>
      <c r="I72" s="10">
        <v>45669.402349537027</v>
      </c>
      <c r="J72" s="10">
        <v>45669.402349537027</v>
      </c>
      <c r="K72" s="10">
        <v>45669.403113425928</v>
      </c>
      <c r="L72" s="10">
        <v>45669.406574074077</v>
      </c>
      <c r="M72" s="11">
        <f t="shared" si="16"/>
        <v>0</v>
      </c>
      <c r="N72" s="11">
        <f t="shared" si="17"/>
        <v>2.0023148172185756E-3</v>
      </c>
      <c r="O72" s="11">
        <f t="shared" si="18"/>
        <v>2.7777777868323028E-3</v>
      </c>
      <c r="P72" s="11">
        <f t="shared" si="19"/>
        <v>5.2083333139307797E-3</v>
      </c>
      <c r="Q72" s="11">
        <f t="shared" si="20"/>
        <v>7.6388890011003241E-4</v>
      </c>
      <c r="R72" s="11">
        <f t="shared" si="21"/>
        <v>3.4606481494847685E-3</v>
      </c>
      <c r="S72" s="11">
        <f t="shared" si="22"/>
        <v>1.2210648150357883E-2</v>
      </c>
      <c r="T72" s="11">
        <f t="shared" si="23"/>
        <v>1.4212962967576459E-2</v>
      </c>
    </row>
    <row r="73" spans="1:20" x14ac:dyDescent="0.45">
      <c r="A73" s="3" t="s">
        <v>214</v>
      </c>
      <c r="B73" s="9">
        <v>128</v>
      </c>
      <c r="C73" s="3" t="s">
        <v>139</v>
      </c>
      <c r="D73" s="10">
        <v>45669.422222222223</v>
      </c>
      <c r="E73" s="10">
        <v>45669.422222222223</v>
      </c>
      <c r="F73" s="10">
        <v>45669.424108796287</v>
      </c>
      <c r="G73" s="10">
        <v>45669.424108796287</v>
      </c>
      <c r="H73" s="10">
        <v>45669.426886574067</v>
      </c>
      <c r="I73" s="10">
        <v>45669.430092592593</v>
      </c>
      <c r="J73" s="10">
        <v>45669.430092592593</v>
      </c>
      <c r="K73" s="10">
        <v>45669.430960648147</v>
      </c>
      <c r="L73" s="10">
        <v>45669.434189814812</v>
      </c>
      <c r="M73" s="11">
        <f t="shared" si="16"/>
        <v>0</v>
      </c>
      <c r="N73" s="11">
        <f t="shared" si="17"/>
        <v>1.886574063973967E-3</v>
      </c>
      <c r="O73" s="11">
        <f t="shared" si="18"/>
        <v>2.7777777795563452E-3</v>
      </c>
      <c r="P73" s="11">
        <f t="shared" si="19"/>
        <v>3.2060185258160345E-3</v>
      </c>
      <c r="Q73" s="11">
        <f t="shared" si="20"/>
        <v>8.6805555474711582E-4</v>
      </c>
      <c r="R73" s="11">
        <f t="shared" si="21"/>
        <v>3.2291666648234241E-3</v>
      </c>
      <c r="S73" s="11">
        <f t="shared" si="22"/>
        <v>1.008101852494292E-2</v>
      </c>
      <c r="T73" s="11">
        <f t="shared" si="23"/>
        <v>1.1967592588916887E-2</v>
      </c>
    </row>
    <row r="74" spans="1:20" x14ac:dyDescent="0.45">
      <c r="A74" s="3" t="s">
        <v>215</v>
      </c>
      <c r="B74" s="9">
        <v>176</v>
      </c>
      <c r="C74" s="3" t="s">
        <v>139</v>
      </c>
      <c r="D74" s="10">
        <v>45669.457638888889</v>
      </c>
      <c r="E74" s="10">
        <v>45669.457638888889</v>
      </c>
      <c r="F74" s="10">
        <v>45669.459641203714</v>
      </c>
      <c r="G74" s="10">
        <v>45669.459641203714</v>
      </c>
      <c r="H74" s="10">
        <v>45669.462418981479</v>
      </c>
      <c r="I74" s="10">
        <v>45669.467627314807</v>
      </c>
      <c r="J74" s="10">
        <v>45669.467627314807</v>
      </c>
      <c r="K74" s="10">
        <v>45669.468391203707</v>
      </c>
      <c r="L74" s="10">
        <v>45669.471875000003</v>
      </c>
      <c r="M74" s="11">
        <f t="shared" si="16"/>
        <v>0</v>
      </c>
      <c r="N74" s="11">
        <f t="shared" si="17"/>
        <v>2.0023148244945332E-3</v>
      </c>
      <c r="O74" s="11">
        <f t="shared" si="18"/>
        <v>2.77777776500443E-3</v>
      </c>
      <c r="P74" s="11">
        <f t="shared" si="19"/>
        <v>5.2083333284826949E-3</v>
      </c>
      <c r="Q74" s="11">
        <f t="shared" si="20"/>
        <v>7.6388890011003241E-4</v>
      </c>
      <c r="R74" s="11">
        <f t="shared" si="21"/>
        <v>3.4837962957681157E-3</v>
      </c>
      <c r="S74" s="11">
        <f t="shared" si="22"/>
        <v>1.2233796289365273E-2</v>
      </c>
      <c r="T74" s="11">
        <f t="shared" si="23"/>
        <v>1.4236111113859806E-2</v>
      </c>
    </row>
    <row r="75" spans="1:20" x14ac:dyDescent="0.45">
      <c r="A75" s="3" t="s">
        <v>216</v>
      </c>
      <c r="B75" s="9">
        <v>176</v>
      </c>
      <c r="C75" s="3" t="s">
        <v>139</v>
      </c>
      <c r="D75" s="10">
        <v>45669.491666666669</v>
      </c>
      <c r="E75" s="10">
        <v>45669.491666666669</v>
      </c>
      <c r="F75" s="10">
        <v>45669.493668981479</v>
      </c>
      <c r="G75" s="10">
        <v>45669.493668981479</v>
      </c>
      <c r="H75" s="10">
        <v>45669.496446759258</v>
      </c>
      <c r="I75" s="10">
        <v>45669.500844907408</v>
      </c>
      <c r="J75" s="10">
        <v>45669.500844907408</v>
      </c>
      <c r="K75" s="10">
        <v>45669.50172453704</v>
      </c>
      <c r="L75" s="10">
        <v>45669.505798611113</v>
      </c>
      <c r="M75" s="11">
        <f t="shared" si="16"/>
        <v>0</v>
      </c>
      <c r="N75" s="11">
        <f t="shared" si="17"/>
        <v>2.002314809942618E-3</v>
      </c>
      <c r="O75" s="11">
        <f t="shared" si="18"/>
        <v>2.7777777795563452E-3</v>
      </c>
      <c r="P75" s="11">
        <f t="shared" si="19"/>
        <v>4.3981481503578834E-3</v>
      </c>
      <c r="Q75" s="11">
        <f t="shared" si="20"/>
        <v>8.7962963152676821E-4</v>
      </c>
      <c r="R75" s="11">
        <f t="shared" si="21"/>
        <v>4.0740740732871927E-3</v>
      </c>
      <c r="S75" s="11">
        <f t="shared" si="22"/>
        <v>1.212962963472819E-2</v>
      </c>
      <c r="T75" s="11">
        <f t="shared" si="23"/>
        <v>1.4131944444670808E-2</v>
      </c>
    </row>
    <row r="76" spans="1:20" x14ac:dyDescent="0.45">
      <c r="A76" s="3" t="s">
        <v>217</v>
      </c>
      <c r="B76" s="9">
        <v>144</v>
      </c>
      <c r="C76" s="3" t="s">
        <v>139</v>
      </c>
      <c r="D76" s="10">
        <v>45669.666666666657</v>
      </c>
      <c r="E76" s="10">
        <v>45669.666666666657</v>
      </c>
      <c r="F76" s="10">
        <v>45669.668587962973</v>
      </c>
      <c r="G76" s="10">
        <v>45669.668587962973</v>
      </c>
      <c r="H76" s="10">
        <v>45669.671365740738</v>
      </c>
      <c r="I76" s="10">
        <v>45669.675636574073</v>
      </c>
      <c r="J76" s="10">
        <v>45669.675636574073</v>
      </c>
      <c r="K76" s="10">
        <v>45669.676400462973</v>
      </c>
      <c r="L76" s="10">
        <v>45669.680381944447</v>
      </c>
      <c r="M76" s="11">
        <f t="shared" si="16"/>
        <v>0</v>
      </c>
      <c r="N76" s="11">
        <f t="shared" si="17"/>
        <v>1.921296316140797E-3</v>
      </c>
      <c r="O76" s="11">
        <f t="shared" si="18"/>
        <v>2.77777776500443E-3</v>
      </c>
      <c r="P76" s="11">
        <f t="shared" si="19"/>
        <v>4.2708333348855376E-3</v>
      </c>
      <c r="Q76" s="11">
        <f t="shared" si="20"/>
        <v>7.6388890011003241E-4</v>
      </c>
      <c r="R76" s="11">
        <f t="shared" si="21"/>
        <v>3.9814814736018889E-3</v>
      </c>
      <c r="S76" s="11">
        <f t="shared" si="22"/>
        <v>1.1793981473601889E-2</v>
      </c>
      <c r="T76" s="11">
        <f t="shared" si="23"/>
        <v>1.3715277789742686E-2</v>
      </c>
    </row>
    <row r="77" spans="1:20" x14ac:dyDescent="0.45">
      <c r="A77" s="3" t="s">
        <v>218</v>
      </c>
      <c r="B77" s="9">
        <v>160</v>
      </c>
      <c r="C77" s="3" t="s">
        <v>139</v>
      </c>
      <c r="D77" s="10">
        <v>45669.791666666657</v>
      </c>
      <c r="E77" s="10">
        <v>45669.791666666657</v>
      </c>
      <c r="F77" s="10">
        <v>45669.793622685182</v>
      </c>
      <c r="G77" s="10">
        <v>45669.793622685182</v>
      </c>
      <c r="H77" s="10">
        <v>45669.796400462961</v>
      </c>
      <c r="I77" s="10">
        <v>45669.798402777778</v>
      </c>
      <c r="J77" s="10">
        <v>45669.798402777778</v>
      </c>
      <c r="K77" s="10">
        <v>45669.79928240741</v>
      </c>
      <c r="L77" s="10">
        <v>45669.802233796298</v>
      </c>
      <c r="M77" s="11">
        <f t="shared" si="16"/>
        <v>0</v>
      </c>
      <c r="N77" s="11">
        <f t="shared" si="17"/>
        <v>1.9560185246518813E-3</v>
      </c>
      <c r="O77" s="11">
        <f t="shared" si="18"/>
        <v>2.7777777795563452E-3</v>
      </c>
      <c r="P77" s="11">
        <f t="shared" si="19"/>
        <v>2.0023148172185756E-3</v>
      </c>
      <c r="Q77" s="11">
        <f t="shared" si="20"/>
        <v>8.7962963152676821E-4</v>
      </c>
      <c r="R77" s="11">
        <f t="shared" si="21"/>
        <v>2.9513888875953853E-3</v>
      </c>
      <c r="S77" s="11">
        <f t="shared" si="22"/>
        <v>8.6111111158970743E-3</v>
      </c>
      <c r="T77" s="11">
        <f t="shared" si="23"/>
        <v>1.0567129640548956E-2</v>
      </c>
    </row>
    <row r="78" spans="1:20" x14ac:dyDescent="0.45">
      <c r="A78" s="3" t="s">
        <v>219</v>
      </c>
      <c r="B78" s="9">
        <v>224</v>
      </c>
      <c r="C78" s="3" t="s">
        <v>139</v>
      </c>
      <c r="D78" s="10">
        <v>45669.916666666657</v>
      </c>
      <c r="E78" s="10">
        <v>45669.916666666657</v>
      </c>
      <c r="F78" s="10">
        <v>45669.918773148151</v>
      </c>
      <c r="G78" s="10">
        <v>45669.918773148151</v>
      </c>
      <c r="H78" s="10">
        <v>45669.921550925923</v>
      </c>
      <c r="I78" s="10">
        <v>45669.924872685187</v>
      </c>
      <c r="J78" s="10">
        <v>45669.924872685187</v>
      </c>
      <c r="K78" s="10">
        <v>45669.925636574073</v>
      </c>
      <c r="L78" s="10">
        <v>45669.927407407413</v>
      </c>
      <c r="M78" s="11">
        <f t="shared" si="16"/>
        <v>0</v>
      </c>
      <c r="N78" s="11">
        <f t="shared" si="17"/>
        <v>2.1064814936835319E-3</v>
      </c>
      <c r="O78" s="11">
        <f t="shared" si="18"/>
        <v>2.7777777722803876E-3</v>
      </c>
      <c r="P78" s="11">
        <f t="shared" si="19"/>
        <v>3.3217592645087279E-3</v>
      </c>
      <c r="Q78" s="11">
        <f t="shared" si="20"/>
        <v>7.6388888555811718E-4</v>
      </c>
      <c r="R78" s="11">
        <f t="shared" si="21"/>
        <v>1.7708333398331888E-3</v>
      </c>
      <c r="S78" s="11">
        <f t="shared" si="22"/>
        <v>8.6342592621804215E-3</v>
      </c>
      <c r="T78" s="11">
        <f t="shared" si="23"/>
        <v>1.0740740755863953E-2</v>
      </c>
    </row>
  </sheetData>
  <autoFilter ref="A1:T78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51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4" width="8.19921875" customWidth="1"/>
    <col min="5" max="7" width="19" customWidth="1"/>
    <col min="8" max="8" width="8.19921875" customWidth="1"/>
    <col min="9" max="12" width="19" customWidth="1"/>
    <col min="13" max="14" width="8.19921875" customWidth="1"/>
    <col min="15" max="15" width="19" customWidth="1"/>
    <col min="16" max="16" width="8.19921875" customWidth="1"/>
    <col min="17" max="17" width="100" customWidth="1"/>
  </cols>
  <sheetData>
    <row r="1" spans="1:17" ht="45" customHeight="1" x14ac:dyDescent="0.45">
      <c r="A1" s="1" t="s">
        <v>125</v>
      </c>
      <c r="B1" s="1" t="s">
        <v>220</v>
      </c>
      <c r="C1" s="1" t="s">
        <v>126</v>
      </c>
      <c r="D1" s="1" t="s">
        <v>221</v>
      </c>
      <c r="E1" s="1" t="s">
        <v>130</v>
      </c>
      <c r="F1" s="1" t="s">
        <v>222</v>
      </c>
      <c r="G1" s="1" t="s">
        <v>223</v>
      </c>
      <c r="H1" s="1" t="s">
        <v>224</v>
      </c>
      <c r="I1" s="1" t="s">
        <v>225</v>
      </c>
      <c r="J1" s="1" t="s">
        <v>226</v>
      </c>
      <c r="K1" s="1" t="s">
        <v>227</v>
      </c>
      <c r="L1" s="1" t="s">
        <v>228</v>
      </c>
      <c r="M1" s="1" t="s">
        <v>48</v>
      </c>
      <c r="N1" s="1" t="s">
        <v>51</v>
      </c>
      <c r="O1" s="1" t="s">
        <v>229</v>
      </c>
      <c r="P1" s="1" t="s">
        <v>54</v>
      </c>
      <c r="Q1" s="1" t="s">
        <v>57</v>
      </c>
    </row>
    <row r="2" spans="1:17" ht="25.5" x14ac:dyDescent="0.45">
      <c r="A2" s="3" t="s">
        <v>230</v>
      </c>
      <c r="B2" s="3" t="s">
        <v>138</v>
      </c>
      <c r="C2" s="9">
        <v>32</v>
      </c>
      <c r="D2" s="3" t="s">
        <v>231</v>
      </c>
      <c r="E2" s="10">
        <v>45663.210439814808</v>
      </c>
      <c r="F2" s="10">
        <v>45663.222245370373</v>
      </c>
      <c r="G2" s="10">
        <v>45663.223761574067</v>
      </c>
      <c r="H2" s="3" t="s">
        <v>232</v>
      </c>
      <c r="I2" s="10">
        <v>45663.23847222222</v>
      </c>
      <c r="J2" s="10">
        <v>45663.257916666669</v>
      </c>
      <c r="K2" s="10">
        <v>45663.257916666669</v>
      </c>
      <c r="L2" s="10">
        <v>45663.258576388893</v>
      </c>
      <c r="M2" s="11">
        <f t="shared" ref="M2:M65" si="0">IF(AND(ISNUMBER(E2),ISNUMBER(G2)),(G2-E2),"")</f>
        <v>1.3321759259270038E-2</v>
      </c>
      <c r="N2" s="11">
        <f t="shared" ref="N2:N65" si="1">IF(AND(ISNUMBER(G2),ISNUMBER(L2)),(L2-G2),"")</f>
        <v>3.4814814825949725E-2</v>
      </c>
      <c r="O2" s="10">
        <v>45663.227858796286</v>
      </c>
      <c r="P2" s="11">
        <f t="shared" ref="P2:P65" si="2">IF(AND(ISNUMBER(I2),ISNUMBER(O2)),(I2-O2),"")</f>
        <v>1.061342593311565E-2</v>
      </c>
      <c r="Q2" s="12" t="s">
        <v>233</v>
      </c>
    </row>
    <row r="3" spans="1:17" ht="25.5" x14ac:dyDescent="0.45">
      <c r="A3" s="3" t="s">
        <v>234</v>
      </c>
      <c r="B3" s="3" t="s">
        <v>138</v>
      </c>
      <c r="C3" s="9">
        <v>80</v>
      </c>
      <c r="D3" s="3" t="s">
        <v>231</v>
      </c>
      <c r="E3" s="10">
        <v>45663.210439814808</v>
      </c>
      <c r="F3" s="10">
        <v>45663.222245370373</v>
      </c>
      <c r="G3" s="10">
        <v>45663.223761574067</v>
      </c>
      <c r="H3" s="3" t="s">
        <v>232</v>
      </c>
      <c r="I3" s="10">
        <v>45663.23847222222</v>
      </c>
      <c r="J3" s="10">
        <v>45663.257916666669</v>
      </c>
      <c r="K3" s="10">
        <v>45663.257916666669</v>
      </c>
      <c r="L3" s="10">
        <v>45663.258576388893</v>
      </c>
      <c r="M3" s="11">
        <f t="shared" si="0"/>
        <v>1.3321759259270038E-2</v>
      </c>
      <c r="N3" s="11">
        <f t="shared" si="1"/>
        <v>3.4814814825949725E-2</v>
      </c>
      <c r="O3" s="10">
        <v>45663.237685185188</v>
      </c>
      <c r="P3" s="11">
        <f t="shared" si="2"/>
        <v>7.8703703184146434E-4</v>
      </c>
      <c r="Q3" s="12" t="s">
        <v>235</v>
      </c>
    </row>
    <row r="4" spans="1:17" ht="25.5" x14ac:dyDescent="0.45">
      <c r="A4" s="3" t="s">
        <v>236</v>
      </c>
      <c r="B4" s="3" t="s">
        <v>138</v>
      </c>
      <c r="C4" s="9">
        <v>80</v>
      </c>
      <c r="D4" s="3" t="s">
        <v>237</v>
      </c>
      <c r="E4" s="10">
        <v>45663.210439814808</v>
      </c>
      <c r="F4" s="10">
        <v>45663.223761574067</v>
      </c>
      <c r="G4" s="10">
        <v>45663.225277777783</v>
      </c>
      <c r="H4" s="3" t="s">
        <v>238</v>
      </c>
      <c r="I4" s="10">
        <v>45664.272824074083</v>
      </c>
      <c r="J4" s="10">
        <v>45664.306157407409</v>
      </c>
      <c r="K4" s="10">
        <v>45664.306157407409</v>
      </c>
      <c r="L4" s="10">
        <v>45664.30709490741</v>
      </c>
      <c r="M4" s="11">
        <f t="shared" si="0"/>
        <v>1.4837962975434493E-2</v>
      </c>
      <c r="N4" s="11">
        <f t="shared" si="1"/>
        <v>1.0818171296268702</v>
      </c>
      <c r="O4" s="10">
        <v>45663.234699074077</v>
      </c>
      <c r="P4" s="11">
        <f t="shared" si="2"/>
        <v>1.0381250000064028</v>
      </c>
      <c r="Q4" s="12" t="s">
        <v>239</v>
      </c>
    </row>
    <row r="5" spans="1:17" ht="25.5" x14ac:dyDescent="0.45">
      <c r="A5" s="3" t="s">
        <v>240</v>
      </c>
      <c r="B5" s="3" t="s">
        <v>138</v>
      </c>
      <c r="C5" s="9">
        <v>32</v>
      </c>
      <c r="D5" s="3" t="s">
        <v>231</v>
      </c>
      <c r="E5" s="10">
        <v>45663.210439814808</v>
      </c>
      <c r="F5" s="10">
        <v>45663.225277777783</v>
      </c>
      <c r="G5" s="10">
        <v>45663.226469907408</v>
      </c>
      <c r="H5" s="3" t="s">
        <v>241</v>
      </c>
      <c r="I5" s="10">
        <v>45663.637407407397</v>
      </c>
      <c r="J5" s="10">
        <v>45663.659629629627</v>
      </c>
      <c r="K5" s="10">
        <v>45663.659629629627</v>
      </c>
      <c r="L5" s="10">
        <v>45663.660520833328</v>
      </c>
      <c r="M5" s="11">
        <f t="shared" si="0"/>
        <v>1.6030092599976342E-2</v>
      </c>
      <c r="N5" s="11">
        <f t="shared" si="1"/>
        <v>0.43405092592001893</v>
      </c>
      <c r="O5" s="10">
        <v>45663.230752314812</v>
      </c>
      <c r="P5" s="11">
        <f t="shared" si="2"/>
        <v>0.40665509258542443</v>
      </c>
      <c r="Q5" s="12" t="s">
        <v>242</v>
      </c>
    </row>
    <row r="6" spans="1:17" ht="25.5" x14ac:dyDescent="0.45">
      <c r="A6" s="3" t="s">
        <v>243</v>
      </c>
      <c r="B6" s="3" t="s">
        <v>140</v>
      </c>
      <c r="C6" s="9">
        <v>64</v>
      </c>
      <c r="D6" s="3" t="s">
        <v>237</v>
      </c>
      <c r="E6" s="10">
        <v>45663.209965277783</v>
      </c>
      <c r="F6" s="10">
        <v>45663.218622685177</v>
      </c>
      <c r="G6" s="10">
        <v>45663.219502314823</v>
      </c>
      <c r="H6" s="3" t="s">
        <v>244</v>
      </c>
      <c r="I6" s="10">
        <v>45663.231180555558</v>
      </c>
      <c r="J6" s="10">
        <v>45663.250625000001</v>
      </c>
      <c r="K6" s="10">
        <v>45663.250625000001</v>
      </c>
      <c r="L6" s="10">
        <v>45663.251342592594</v>
      </c>
      <c r="M6" s="11">
        <f t="shared" si="0"/>
        <v>9.5370370399905369E-3</v>
      </c>
      <c r="N6" s="11">
        <f t="shared" si="1"/>
        <v>3.1840277770243119E-2</v>
      </c>
      <c r="O6" s="10">
        <v>45663.226215277777</v>
      </c>
      <c r="P6" s="11">
        <f t="shared" si="2"/>
        <v>4.9652777815936133E-3</v>
      </c>
      <c r="Q6" s="12" t="s">
        <v>245</v>
      </c>
    </row>
    <row r="7" spans="1:17" ht="25.5" x14ac:dyDescent="0.45">
      <c r="A7" s="3" t="s">
        <v>246</v>
      </c>
      <c r="B7" s="3" t="s">
        <v>140</v>
      </c>
      <c r="C7" s="9">
        <v>48</v>
      </c>
      <c r="D7" s="3" t="s">
        <v>247</v>
      </c>
      <c r="E7" s="10">
        <v>45663.209965277783</v>
      </c>
      <c r="F7" s="10">
        <v>45663.219502314823</v>
      </c>
      <c r="G7" s="10">
        <v>45663.220532407409</v>
      </c>
      <c r="H7" s="3" t="s">
        <v>248</v>
      </c>
      <c r="I7" s="10">
        <v>45664.267893518518</v>
      </c>
      <c r="J7" s="10">
        <v>45664.292893518519</v>
      </c>
      <c r="K7" s="10">
        <v>45664.292893518519</v>
      </c>
      <c r="L7" s="10">
        <v>45664.293657407397</v>
      </c>
      <c r="M7" s="11">
        <f t="shared" si="0"/>
        <v>1.056712962599704E-2</v>
      </c>
      <c r="N7" s="11">
        <f t="shared" si="1"/>
        <v>1.0731249999880674</v>
      </c>
      <c r="O7" s="10">
        <v>45663.225740740738</v>
      </c>
      <c r="P7" s="11">
        <f t="shared" si="2"/>
        <v>1.0421527777798474</v>
      </c>
      <c r="Q7" s="12" t="s">
        <v>249</v>
      </c>
    </row>
    <row r="8" spans="1:17" ht="25.5" x14ac:dyDescent="0.45">
      <c r="A8" s="3" t="s">
        <v>250</v>
      </c>
      <c r="B8" s="3" t="s">
        <v>140</v>
      </c>
      <c r="C8" s="9">
        <v>48</v>
      </c>
      <c r="D8" s="3" t="s">
        <v>247</v>
      </c>
      <c r="E8" s="10">
        <v>45663.209965277783</v>
      </c>
      <c r="F8" s="10">
        <v>45663.219502314823</v>
      </c>
      <c r="G8" s="10">
        <v>45663.220532407409</v>
      </c>
      <c r="H8" s="3" t="s">
        <v>248</v>
      </c>
      <c r="I8" s="10">
        <v>45664.267893518518</v>
      </c>
      <c r="J8" s="10">
        <v>45664.292893518519</v>
      </c>
      <c r="K8" s="10">
        <v>45664.292893518519</v>
      </c>
      <c r="L8" s="10">
        <v>45664.293657407397</v>
      </c>
      <c r="M8" s="11">
        <f t="shared" si="0"/>
        <v>1.056712962599704E-2</v>
      </c>
      <c r="N8" s="11">
        <f t="shared" si="1"/>
        <v>1.0731249999880674</v>
      </c>
      <c r="O8" s="10">
        <v>45663.229479166657</v>
      </c>
      <c r="P8" s="11">
        <f t="shared" si="2"/>
        <v>1.0384143518604105</v>
      </c>
      <c r="Q8" s="12" t="s">
        <v>251</v>
      </c>
    </row>
    <row r="9" spans="1:17" ht="25.5" x14ac:dyDescent="0.45">
      <c r="A9" s="3" t="s">
        <v>252</v>
      </c>
      <c r="B9" s="3" t="s">
        <v>140</v>
      </c>
      <c r="C9" s="9">
        <v>48</v>
      </c>
      <c r="D9" s="3" t="s">
        <v>237</v>
      </c>
      <c r="E9" s="10">
        <v>45663.209965277783</v>
      </c>
      <c r="F9" s="10">
        <v>45663.220532407409</v>
      </c>
      <c r="G9" s="10">
        <v>45663.221365740741</v>
      </c>
      <c r="H9" s="3" t="s">
        <v>244</v>
      </c>
      <c r="I9" s="10">
        <v>45663.231180555558</v>
      </c>
      <c r="J9" s="10">
        <v>45663.250625000001</v>
      </c>
      <c r="K9" s="10">
        <v>45663.250625000001</v>
      </c>
      <c r="L9" s="10">
        <v>45663.251342592594</v>
      </c>
      <c r="M9" s="11">
        <f t="shared" si="0"/>
        <v>1.1400462957681157E-2</v>
      </c>
      <c r="N9" s="11">
        <f t="shared" si="1"/>
        <v>2.99768518525525E-2</v>
      </c>
      <c r="O9" s="10">
        <v>45663.229571759257</v>
      </c>
      <c r="P9" s="11">
        <f t="shared" si="2"/>
        <v>1.6087963012978435E-3</v>
      </c>
      <c r="Q9" s="12" t="s">
        <v>253</v>
      </c>
    </row>
    <row r="10" spans="1:17" ht="25.5" x14ac:dyDescent="0.45">
      <c r="A10" s="3" t="s">
        <v>254</v>
      </c>
      <c r="B10" s="3" t="s">
        <v>142</v>
      </c>
      <c r="C10" s="9">
        <v>32</v>
      </c>
      <c r="D10" s="3" t="s">
        <v>255</v>
      </c>
      <c r="E10" s="10">
        <v>45663.314456018517</v>
      </c>
      <c r="F10" s="10">
        <v>45663.320555555547</v>
      </c>
      <c r="G10" s="10">
        <v>45663.321666666663</v>
      </c>
      <c r="H10" s="3" t="s">
        <v>256</v>
      </c>
      <c r="I10" s="10">
        <v>45663.335185185177</v>
      </c>
      <c r="J10" s="10">
        <v>45663.362962962958</v>
      </c>
      <c r="K10" s="10">
        <v>45663.362962962958</v>
      </c>
      <c r="L10" s="10">
        <v>45663.363796296297</v>
      </c>
      <c r="M10" s="11">
        <f t="shared" si="0"/>
        <v>7.2106481457012706E-3</v>
      </c>
      <c r="N10" s="11">
        <f t="shared" si="1"/>
        <v>4.2129629633564036E-2</v>
      </c>
      <c r="O10" s="10">
        <v>45663.325428240743</v>
      </c>
      <c r="P10" s="11">
        <f t="shared" si="2"/>
        <v>9.7569444333203137E-3</v>
      </c>
      <c r="Q10" s="12" t="s">
        <v>257</v>
      </c>
    </row>
    <row r="11" spans="1:17" ht="25.5" x14ac:dyDescent="0.45">
      <c r="A11" s="3" t="s">
        <v>258</v>
      </c>
      <c r="B11" s="3" t="s">
        <v>142</v>
      </c>
      <c r="C11" s="9">
        <v>80</v>
      </c>
      <c r="D11" s="3" t="s">
        <v>255</v>
      </c>
      <c r="E11" s="10">
        <v>45663.314456018517</v>
      </c>
      <c r="F11" s="10">
        <v>45663.320555555547</v>
      </c>
      <c r="G11" s="10">
        <v>45663.321666666663</v>
      </c>
      <c r="H11" s="3" t="s">
        <v>256</v>
      </c>
      <c r="I11" s="10">
        <v>45663.335185185177</v>
      </c>
      <c r="J11" s="10">
        <v>45663.362962962958</v>
      </c>
      <c r="K11" s="10">
        <v>45663.362962962958</v>
      </c>
      <c r="L11" s="10">
        <v>45663.363796296297</v>
      </c>
      <c r="M11" s="11">
        <f t="shared" si="0"/>
        <v>7.2106481457012706E-3</v>
      </c>
      <c r="N11" s="11">
        <f t="shared" si="1"/>
        <v>4.2129629633564036E-2</v>
      </c>
      <c r="O11" s="10">
        <v>45663.334340277783</v>
      </c>
      <c r="P11" s="11">
        <f t="shared" si="2"/>
        <v>8.4490739391185343E-4</v>
      </c>
      <c r="Q11" s="12" t="s">
        <v>259</v>
      </c>
    </row>
    <row r="12" spans="1:17" ht="25.5" x14ac:dyDescent="0.45">
      <c r="A12" s="3" t="s">
        <v>260</v>
      </c>
      <c r="B12" s="3" t="s">
        <v>142</v>
      </c>
      <c r="C12" s="9">
        <v>48</v>
      </c>
      <c r="D12" s="3" t="s">
        <v>255</v>
      </c>
      <c r="E12" s="10">
        <v>45663.314456018517</v>
      </c>
      <c r="F12" s="10">
        <v>45663.320555555547</v>
      </c>
      <c r="G12" s="10">
        <v>45663.321666666663</v>
      </c>
      <c r="H12" s="3" t="s">
        <v>256</v>
      </c>
      <c r="I12" s="10">
        <v>45663.335185185177</v>
      </c>
      <c r="J12" s="10">
        <v>45663.362962962958</v>
      </c>
      <c r="K12" s="10">
        <v>45663.362962962958</v>
      </c>
      <c r="L12" s="10">
        <v>45663.363796296297</v>
      </c>
      <c r="M12" s="11">
        <f t="shared" si="0"/>
        <v>7.2106481457012706E-3</v>
      </c>
      <c r="N12" s="11">
        <f t="shared" si="1"/>
        <v>4.2129629633564036E-2</v>
      </c>
      <c r="O12" s="10">
        <v>45663.331412037027</v>
      </c>
      <c r="P12" s="11">
        <f t="shared" si="2"/>
        <v>3.7731481497758068E-3</v>
      </c>
      <c r="Q12" s="12" t="s">
        <v>261</v>
      </c>
    </row>
    <row r="13" spans="1:17" ht="38.25" x14ac:dyDescent="0.45">
      <c r="A13" s="3" t="s">
        <v>262</v>
      </c>
      <c r="B13" s="3" t="s">
        <v>143</v>
      </c>
      <c r="C13" s="9">
        <v>32</v>
      </c>
      <c r="D13" s="3" t="s">
        <v>263</v>
      </c>
      <c r="E13" s="10">
        <v>45663.470567129632</v>
      </c>
      <c r="F13" s="10">
        <v>45663.475601851853</v>
      </c>
      <c r="G13" s="10">
        <v>45663.476574074077</v>
      </c>
      <c r="H13" s="3" t="s">
        <v>264</v>
      </c>
      <c r="I13" s="10">
        <v>45663.637638888889</v>
      </c>
      <c r="J13" s="10">
        <v>45663.668194444443</v>
      </c>
      <c r="K13" s="10">
        <v>45663.668194444443</v>
      </c>
      <c r="L13" s="10">
        <v>45663.669074074067</v>
      </c>
      <c r="M13" s="11">
        <f t="shared" si="0"/>
        <v>6.0069444443797693E-3</v>
      </c>
      <c r="N13" s="11">
        <f t="shared" si="1"/>
        <v>0.1924999999901047</v>
      </c>
      <c r="O13" s="10">
        <v>45663.480324074073</v>
      </c>
      <c r="P13" s="11">
        <f t="shared" si="2"/>
        <v>0.15731481481634546</v>
      </c>
      <c r="Q13" s="12" t="s">
        <v>265</v>
      </c>
    </row>
    <row r="14" spans="1:17" ht="25.5" x14ac:dyDescent="0.45">
      <c r="A14" s="3" t="s">
        <v>266</v>
      </c>
      <c r="B14" s="3" t="s">
        <v>143</v>
      </c>
      <c r="C14" s="9">
        <v>64</v>
      </c>
      <c r="D14" s="3" t="s">
        <v>263</v>
      </c>
      <c r="E14" s="10">
        <v>45663.470567129632</v>
      </c>
      <c r="F14" s="10">
        <v>45663.475601851853</v>
      </c>
      <c r="G14" s="10">
        <v>45663.476574074077</v>
      </c>
      <c r="H14" s="3" t="s">
        <v>264</v>
      </c>
      <c r="I14" s="10">
        <v>45663.637638888889</v>
      </c>
      <c r="J14" s="10">
        <v>45663.668194444443</v>
      </c>
      <c r="K14" s="10">
        <v>45663.668194444443</v>
      </c>
      <c r="L14" s="10">
        <v>45663.669074074067</v>
      </c>
      <c r="M14" s="11">
        <f t="shared" si="0"/>
        <v>6.0069444443797693E-3</v>
      </c>
      <c r="N14" s="11">
        <f t="shared" si="1"/>
        <v>0.1924999999901047</v>
      </c>
      <c r="O14" s="10">
        <v>45663.487013888887</v>
      </c>
      <c r="P14" s="11">
        <f t="shared" si="2"/>
        <v>0.15062500000203727</v>
      </c>
      <c r="Q14" s="12" t="s">
        <v>267</v>
      </c>
    </row>
    <row r="15" spans="1:17" ht="25.5" x14ac:dyDescent="0.45">
      <c r="A15" s="3" t="s">
        <v>268</v>
      </c>
      <c r="B15" s="3" t="s">
        <v>144</v>
      </c>
      <c r="C15" s="9">
        <v>64</v>
      </c>
      <c r="D15" s="3" t="s">
        <v>231</v>
      </c>
      <c r="E15" s="10">
        <v>45663.616585648153</v>
      </c>
      <c r="F15" s="10">
        <v>45663.625601851847</v>
      </c>
      <c r="G15" s="10">
        <v>45663.626875000002</v>
      </c>
      <c r="H15" s="3" t="s">
        <v>241</v>
      </c>
      <c r="I15" s="10">
        <v>45663.637407407397</v>
      </c>
      <c r="J15" s="10">
        <v>45663.659629629627</v>
      </c>
      <c r="K15" s="10">
        <v>45663.659629629627</v>
      </c>
      <c r="L15" s="10">
        <v>45663.660520833328</v>
      </c>
      <c r="M15" s="11">
        <f t="shared" si="0"/>
        <v>1.0289351848769002E-2</v>
      </c>
      <c r="N15" s="11">
        <f t="shared" si="1"/>
        <v>3.364583332586335E-2</v>
      </c>
      <c r="O15" s="10">
        <v>45663.63653935185</v>
      </c>
      <c r="P15" s="11">
        <f t="shared" si="2"/>
        <v>8.6805554747115821E-4</v>
      </c>
      <c r="Q15" s="12" t="s">
        <v>269</v>
      </c>
    </row>
    <row r="16" spans="1:17" ht="25.5" x14ac:dyDescent="0.45">
      <c r="A16" s="3" t="s">
        <v>270</v>
      </c>
      <c r="B16" s="3" t="s">
        <v>144</v>
      </c>
      <c r="C16" s="9">
        <v>32</v>
      </c>
      <c r="D16" s="3" t="s">
        <v>263</v>
      </c>
      <c r="E16" s="10">
        <v>45663.616585648153</v>
      </c>
      <c r="F16" s="10">
        <v>45663.626875000002</v>
      </c>
      <c r="G16" s="10">
        <v>45663.627812500003</v>
      </c>
      <c r="H16" s="3" t="s">
        <v>264</v>
      </c>
      <c r="I16" s="10">
        <v>45663.637638888889</v>
      </c>
      <c r="J16" s="10">
        <v>45663.668194444443</v>
      </c>
      <c r="K16" s="10">
        <v>45663.668194444443</v>
      </c>
      <c r="L16" s="10">
        <v>45663.669074074067</v>
      </c>
      <c r="M16" s="11">
        <f t="shared" si="0"/>
        <v>1.1226851849642117E-2</v>
      </c>
      <c r="N16" s="11">
        <f t="shared" si="1"/>
        <v>4.1261574064265005E-2</v>
      </c>
      <c r="O16" s="10">
        <v>45663.633043981477</v>
      </c>
      <c r="P16" s="11">
        <f t="shared" si="2"/>
        <v>4.5949074119562283E-3</v>
      </c>
      <c r="Q16" s="12" t="s">
        <v>271</v>
      </c>
    </row>
    <row r="17" spans="1:17" ht="25.5" x14ac:dyDescent="0.45">
      <c r="A17" s="3" t="s">
        <v>272</v>
      </c>
      <c r="B17" s="3" t="s">
        <v>144</v>
      </c>
      <c r="C17" s="9">
        <v>48</v>
      </c>
      <c r="D17" s="3" t="s">
        <v>263</v>
      </c>
      <c r="E17" s="10">
        <v>45663.616585648153</v>
      </c>
      <c r="F17" s="10">
        <v>45663.626875000002</v>
      </c>
      <c r="G17" s="10">
        <v>45663.627812500003</v>
      </c>
      <c r="H17" s="3" t="s">
        <v>264</v>
      </c>
      <c r="I17" s="10">
        <v>45663.637638888889</v>
      </c>
      <c r="J17" s="10">
        <v>45663.668194444443</v>
      </c>
      <c r="K17" s="10">
        <v>45663.668194444443</v>
      </c>
      <c r="L17" s="10">
        <v>45663.669074074067</v>
      </c>
      <c r="M17" s="11">
        <f t="shared" si="0"/>
        <v>1.1226851849642117E-2</v>
      </c>
      <c r="N17" s="11">
        <f t="shared" si="1"/>
        <v>4.1261574064265005E-2</v>
      </c>
      <c r="O17" s="10">
        <v>45663.636770833327</v>
      </c>
      <c r="P17" s="11">
        <f t="shared" si="2"/>
        <v>8.6805556202307343E-4</v>
      </c>
      <c r="Q17" s="12" t="s">
        <v>273</v>
      </c>
    </row>
    <row r="18" spans="1:17" ht="25.5" x14ac:dyDescent="0.45">
      <c r="A18" s="3" t="s">
        <v>274</v>
      </c>
      <c r="B18" s="3" t="s">
        <v>144</v>
      </c>
      <c r="C18" s="9">
        <v>32</v>
      </c>
      <c r="D18" s="3" t="s">
        <v>231</v>
      </c>
      <c r="E18" s="10">
        <v>45663.616585648153</v>
      </c>
      <c r="F18" s="10">
        <v>45663.627812500003</v>
      </c>
      <c r="G18" s="10">
        <v>45663.629016203697</v>
      </c>
      <c r="H18" s="3" t="s">
        <v>241</v>
      </c>
      <c r="I18" s="10">
        <v>45663.637407407397</v>
      </c>
      <c r="J18" s="10">
        <v>45663.659629629627</v>
      </c>
      <c r="K18" s="10">
        <v>45663.659629629627</v>
      </c>
      <c r="L18" s="10">
        <v>45663.660520833328</v>
      </c>
      <c r="M18" s="11">
        <f t="shared" si="0"/>
        <v>1.243055554368766E-2</v>
      </c>
      <c r="N18" s="11">
        <f t="shared" si="1"/>
        <v>3.1504629630944692E-2</v>
      </c>
      <c r="O18" s="10">
        <v>45663.634745370371</v>
      </c>
      <c r="P18" s="11">
        <f t="shared" si="2"/>
        <v>2.6620370263117366E-3</v>
      </c>
      <c r="Q18" s="12" t="s">
        <v>275</v>
      </c>
    </row>
    <row r="19" spans="1:17" ht="25.5" x14ac:dyDescent="0.45">
      <c r="A19" s="3" t="s">
        <v>276</v>
      </c>
      <c r="B19" s="3" t="s">
        <v>145</v>
      </c>
      <c r="C19" s="9">
        <v>48</v>
      </c>
      <c r="D19" s="3" t="s">
        <v>247</v>
      </c>
      <c r="E19" s="10">
        <v>45664.251956018517</v>
      </c>
      <c r="F19" s="10">
        <v>45664.257916666669</v>
      </c>
      <c r="G19" s="10">
        <v>45664.25885416667</v>
      </c>
      <c r="H19" s="3" t="s">
        <v>248</v>
      </c>
      <c r="I19" s="10">
        <v>45664.267893518518</v>
      </c>
      <c r="J19" s="10">
        <v>45664.292893518519</v>
      </c>
      <c r="K19" s="10">
        <v>45664.292893518519</v>
      </c>
      <c r="L19" s="10">
        <v>45664.293657407397</v>
      </c>
      <c r="M19" s="11">
        <f t="shared" si="0"/>
        <v>6.8981481526861899E-3</v>
      </c>
      <c r="N19" s="11">
        <f t="shared" si="1"/>
        <v>3.48032407273422E-2</v>
      </c>
      <c r="O19" s="10">
        <v>45664.267048611109</v>
      </c>
      <c r="P19" s="11">
        <f t="shared" si="2"/>
        <v>8.4490740846376866E-4</v>
      </c>
      <c r="Q19" s="12" t="s">
        <v>277</v>
      </c>
    </row>
    <row r="20" spans="1:17" ht="25.5" x14ac:dyDescent="0.45">
      <c r="A20" s="3" t="s">
        <v>278</v>
      </c>
      <c r="B20" s="3" t="s">
        <v>145</v>
      </c>
      <c r="C20" s="9">
        <v>64</v>
      </c>
      <c r="D20" s="3" t="s">
        <v>237</v>
      </c>
      <c r="E20" s="10">
        <v>45664.251956018517</v>
      </c>
      <c r="F20" s="10">
        <v>45664.25885416667</v>
      </c>
      <c r="G20" s="10">
        <v>45664.260439814818</v>
      </c>
      <c r="H20" s="3" t="s">
        <v>238</v>
      </c>
      <c r="I20" s="10">
        <v>45664.272824074083</v>
      </c>
      <c r="J20" s="10">
        <v>45664.306157407409</v>
      </c>
      <c r="K20" s="10">
        <v>45664.306157407409</v>
      </c>
      <c r="L20" s="10">
        <v>45664.30709490741</v>
      </c>
      <c r="M20" s="11">
        <f t="shared" si="0"/>
        <v>8.4837963004247285E-3</v>
      </c>
      <c r="N20" s="11">
        <f t="shared" si="1"/>
        <v>4.6655092592118308E-2</v>
      </c>
      <c r="O20" s="10">
        <v>45664.271087962959</v>
      </c>
      <c r="P20" s="11">
        <f t="shared" si="2"/>
        <v>1.7361111240461469E-3</v>
      </c>
      <c r="Q20" s="12" t="s">
        <v>279</v>
      </c>
    </row>
    <row r="21" spans="1:17" ht="25.5" x14ac:dyDescent="0.45">
      <c r="A21" s="3" t="s">
        <v>280</v>
      </c>
      <c r="B21" s="3" t="s">
        <v>145</v>
      </c>
      <c r="C21" s="9">
        <v>48</v>
      </c>
      <c r="D21" s="3" t="s">
        <v>237</v>
      </c>
      <c r="E21" s="10">
        <v>45664.251956018517</v>
      </c>
      <c r="F21" s="10">
        <v>45664.25885416667</v>
      </c>
      <c r="G21" s="10">
        <v>45664.260439814818</v>
      </c>
      <c r="H21" s="3" t="s">
        <v>238</v>
      </c>
      <c r="I21" s="10">
        <v>45664.272824074083</v>
      </c>
      <c r="J21" s="10">
        <v>45664.306157407409</v>
      </c>
      <c r="K21" s="10">
        <v>45664.306157407409</v>
      </c>
      <c r="L21" s="10">
        <v>45664.30709490741</v>
      </c>
      <c r="M21" s="11">
        <f t="shared" si="0"/>
        <v>8.4837963004247285E-3</v>
      </c>
      <c r="N21" s="11">
        <f t="shared" si="1"/>
        <v>4.6655092592118308E-2</v>
      </c>
      <c r="O21" s="10">
        <v>45664.269490740742</v>
      </c>
      <c r="P21" s="11">
        <f t="shared" si="2"/>
        <v>3.3333333412883803E-3</v>
      </c>
      <c r="Q21" s="12" t="s">
        <v>281</v>
      </c>
    </row>
    <row r="22" spans="1:17" ht="25.5" x14ac:dyDescent="0.45">
      <c r="A22" s="3" t="s">
        <v>282</v>
      </c>
      <c r="B22" s="3" t="s">
        <v>146</v>
      </c>
      <c r="C22" s="9">
        <v>48</v>
      </c>
      <c r="D22" s="3" t="s">
        <v>283</v>
      </c>
      <c r="E22" s="10">
        <v>45664.261863425927</v>
      </c>
      <c r="F22" s="10">
        <v>45664.267465277779</v>
      </c>
      <c r="G22" s="10">
        <v>45664.268495370372</v>
      </c>
      <c r="H22" s="3" t="s">
        <v>284</v>
      </c>
      <c r="I22" s="10">
        <v>45664.307893518519</v>
      </c>
      <c r="J22" s="10">
        <v>45664.33011574074</v>
      </c>
      <c r="K22" s="10">
        <v>45664.33011574074</v>
      </c>
      <c r="L22" s="10">
        <v>45664.330868055556</v>
      </c>
      <c r="M22" s="11">
        <f t="shared" si="0"/>
        <v>6.6319444449618459E-3</v>
      </c>
      <c r="N22" s="11">
        <f t="shared" si="1"/>
        <v>6.2372685184527654E-2</v>
      </c>
      <c r="O22" s="10">
        <v>45664.274247685193</v>
      </c>
      <c r="P22" s="11">
        <f t="shared" si="2"/>
        <v>3.364583332586335E-2</v>
      </c>
      <c r="Q22" s="12" t="s">
        <v>285</v>
      </c>
    </row>
    <row r="23" spans="1:17" ht="25.5" x14ac:dyDescent="0.45">
      <c r="A23" s="3" t="s">
        <v>286</v>
      </c>
      <c r="B23" s="3" t="s">
        <v>146</v>
      </c>
      <c r="C23" s="9">
        <v>80</v>
      </c>
      <c r="D23" s="3" t="s">
        <v>283</v>
      </c>
      <c r="E23" s="10">
        <v>45664.261863425927</v>
      </c>
      <c r="F23" s="10">
        <v>45664.267465277779</v>
      </c>
      <c r="G23" s="10">
        <v>45664.268495370372</v>
      </c>
      <c r="H23" s="3" t="s">
        <v>284</v>
      </c>
      <c r="I23" s="10">
        <v>45664.307893518519</v>
      </c>
      <c r="J23" s="10">
        <v>45664.33011574074</v>
      </c>
      <c r="K23" s="10">
        <v>45664.33011574074</v>
      </c>
      <c r="L23" s="10">
        <v>45664.330868055556</v>
      </c>
      <c r="M23" s="11">
        <f t="shared" si="0"/>
        <v>6.6319444449618459E-3</v>
      </c>
      <c r="N23" s="11">
        <f t="shared" si="1"/>
        <v>6.2372685184527654E-2</v>
      </c>
      <c r="O23" s="10">
        <v>45664.28125</v>
      </c>
      <c r="P23" s="11">
        <f t="shared" si="2"/>
        <v>2.6643518518540077E-2</v>
      </c>
      <c r="Q23" s="12" t="s">
        <v>287</v>
      </c>
    </row>
    <row r="24" spans="1:17" ht="25.5" x14ac:dyDescent="0.45">
      <c r="A24" s="3" t="s">
        <v>288</v>
      </c>
      <c r="B24" s="3" t="s">
        <v>147</v>
      </c>
      <c r="C24" s="9">
        <v>80</v>
      </c>
      <c r="D24" s="3" t="s">
        <v>283</v>
      </c>
      <c r="E24" s="10">
        <v>45664.267384259263</v>
      </c>
      <c r="F24" s="10">
        <v>45664.276423611111</v>
      </c>
      <c r="G24" s="10">
        <v>45664.277731481481</v>
      </c>
      <c r="H24" s="3" t="s">
        <v>289</v>
      </c>
      <c r="I24" s="10">
        <v>45664.315694444442</v>
      </c>
      <c r="J24" s="10">
        <v>45664.340694444443</v>
      </c>
      <c r="K24" s="10">
        <v>45664.340694444443</v>
      </c>
      <c r="L24" s="10">
        <v>45664.341631944437</v>
      </c>
      <c r="M24" s="11">
        <f t="shared" si="0"/>
        <v>1.0347222218115348E-2</v>
      </c>
      <c r="N24" s="11">
        <f t="shared" si="1"/>
        <v>6.3900462955643889E-2</v>
      </c>
      <c r="O24" s="10">
        <v>45664.286747685182</v>
      </c>
      <c r="P24" s="11">
        <f t="shared" si="2"/>
        <v>2.8946759259270038E-2</v>
      </c>
      <c r="Q24" s="12" t="s">
        <v>290</v>
      </c>
    </row>
    <row r="25" spans="1:17" ht="25.5" x14ac:dyDescent="0.45">
      <c r="A25" s="3" t="s">
        <v>291</v>
      </c>
      <c r="B25" s="3" t="s">
        <v>147</v>
      </c>
      <c r="C25" s="9">
        <v>80</v>
      </c>
      <c r="D25" s="3" t="s">
        <v>231</v>
      </c>
      <c r="E25" s="10">
        <v>45664.267384259263</v>
      </c>
      <c r="F25" s="10">
        <v>45664.277731481481</v>
      </c>
      <c r="G25" s="10">
        <v>45664.279178240737</v>
      </c>
      <c r="H25" s="3" t="s">
        <v>292</v>
      </c>
      <c r="I25" s="10">
        <v>45664.310671296298</v>
      </c>
      <c r="J25" s="10">
        <v>45664.33011574074</v>
      </c>
      <c r="K25" s="10">
        <v>45664.330868055556</v>
      </c>
      <c r="L25" s="10">
        <v>45664.33152777778</v>
      </c>
      <c r="M25" s="11">
        <f t="shared" si="0"/>
        <v>1.1793981473601889E-2</v>
      </c>
      <c r="N25" s="11">
        <f t="shared" si="1"/>
        <v>5.2349537043482997E-2</v>
      </c>
      <c r="O25" s="10">
        <v>45664.290196759262</v>
      </c>
      <c r="P25" s="11">
        <f t="shared" si="2"/>
        <v>2.0474537035624962E-2</v>
      </c>
      <c r="Q25" s="12" t="s">
        <v>293</v>
      </c>
    </row>
    <row r="26" spans="1:17" ht="25.5" x14ac:dyDescent="0.45">
      <c r="A26" s="3" t="s">
        <v>294</v>
      </c>
      <c r="B26" s="3" t="s">
        <v>147</v>
      </c>
      <c r="C26" s="9">
        <v>64</v>
      </c>
      <c r="D26" s="3" t="s">
        <v>283</v>
      </c>
      <c r="E26" s="10">
        <v>45664.267384259263</v>
      </c>
      <c r="F26" s="10">
        <v>45664.279178240737</v>
      </c>
      <c r="G26" s="10">
        <v>45664.280451388891</v>
      </c>
      <c r="H26" s="3" t="s">
        <v>289</v>
      </c>
      <c r="I26" s="10">
        <v>45664.315694444442</v>
      </c>
      <c r="J26" s="10">
        <v>45664.340694444443</v>
      </c>
      <c r="K26" s="10">
        <v>45664.340694444443</v>
      </c>
      <c r="L26" s="10">
        <v>45664.341631944437</v>
      </c>
      <c r="M26" s="11">
        <f t="shared" si="0"/>
        <v>1.3067129628325347E-2</v>
      </c>
      <c r="N26" s="11">
        <f t="shared" si="1"/>
        <v>6.118055554543389E-2</v>
      </c>
      <c r="O26" s="10">
        <v>45664.298263888893</v>
      </c>
      <c r="P26" s="11">
        <f t="shared" si="2"/>
        <v>1.7430555548344273E-2</v>
      </c>
      <c r="Q26" s="12" t="s">
        <v>295</v>
      </c>
    </row>
    <row r="27" spans="1:17" ht="25.5" x14ac:dyDescent="0.45">
      <c r="A27" s="3" t="s">
        <v>296</v>
      </c>
      <c r="B27" s="3" t="s">
        <v>148</v>
      </c>
      <c r="C27" s="9">
        <v>32</v>
      </c>
      <c r="D27" s="3" t="s">
        <v>231</v>
      </c>
      <c r="E27" s="10">
        <v>45664.277141203696</v>
      </c>
      <c r="F27" s="10">
        <v>45664.283865740741</v>
      </c>
      <c r="G27" s="10">
        <v>45664.285173611112</v>
      </c>
      <c r="H27" s="3" t="s">
        <v>292</v>
      </c>
      <c r="I27" s="10">
        <v>45664.310671296298</v>
      </c>
      <c r="J27" s="10">
        <v>45664.33011574074</v>
      </c>
      <c r="K27" s="10">
        <v>45664.330868055556</v>
      </c>
      <c r="L27" s="10">
        <v>45664.33152777778</v>
      </c>
      <c r="M27" s="11">
        <f t="shared" si="0"/>
        <v>8.0324074151576497E-3</v>
      </c>
      <c r="N27" s="11">
        <f t="shared" si="1"/>
        <v>4.6354166668606922E-2</v>
      </c>
      <c r="O27" s="10">
        <v>45664.296180555553</v>
      </c>
      <c r="P27" s="11">
        <f t="shared" si="2"/>
        <v>1.4490740744804498E-2</v>
      </c>
      <c r="Q27" s="12" t="s">
        <v>297</v>
      </c>
    </row>
    <row r="28" spans="1:17" ht="25.5" x14ac:dyDescent="0.45">
      <c r="A28" s="3" t="s">
        <v>298</v>
      </c>
      <c r="B28" s="3" t="s">
        <v>148</v>
      </c>
      <c r="C28" s="9">
        <v>32</v>
      </c>
      <c r="D28" s="3" t="s">
        <v>263</v>
      </c>
      <c r="E28" s="10">
        <v>45664.277141203696</v>
      </c>
      <c r="F28" s="10">
        <v>45664.285173611112</v>
      </c>
      <c r="G28" s="10">
        <v>45664.286377314813</v>
      </c>
      <c r="H28" s="3" t="s">
        <v>299</v>
      </c>
      <c r="I28" s="10">
        <v>45664.33185185185</v>
      </c>
      <c r="J28" s="10">
        <v>45664.356851851851</v>
      </c>
      <c r="K28" s="10">
        <v>45664.357673611114</v>
      </c>
      <c r="L28" s="10">
        <v>45664.358541666668</v>
      </c>
      <c r="M28" s="11">
        <f t="shared" si="0"/>
        <v>9.236111116479151E-3</v>
      </c>
      <c r="N28" s="11">
        <f t="shared" si="1"/>
        <v>7.2164351855462883E-2</v>
      </c>
      <c r="O28" s="10">
        <v>45664.297430555547</v>
      </c>
      <c r="P28" s="11">
        <f t="shared" si="2"/>
        <v>3.4421296302753035E-2</v>
      </c>
      <c r="Q28" s="12" t="s">
        <v>300</v>
      </c>
    </row>
    <row r="29" spans="1:17" ht="25.5" x14ac:dyDescent="0.45">
      <c r="A29" s="3" t="s">
        <v>301</v>
      </c>
      <c r="B29" s="3" t="s">
        <v>148</v>
      </c>
      <c r="C29" s="9">
        <v>64</v>
      </c>
      <c r="D29" s="3" t="s">
        <v>231</v>
      </c>
      <c r="E29" s="10">
        <v>45664.277141203696</v>
      </c>
      <c r="F29" s="10">
        <v>45664.286377314813</v>
      </c>
      <c r="G29" s="10">
        <v>45664.287789351853</v>
      </c>
      <c r="H29" s="3" t="s">
        <v>302</v>
      </c>
      <c r="I29" s="10">
        <v>45664.331793981481</v>
      </c>
      <c r="J29" s="10">
        <v>45664.356793981482</v>
      </c>
      <c r="K29" s="10">
        <v>45664.356793981482</v>
      </c>
      <c r="L29" s="10">
        <v>45664.357673611114</v>
      </c>
      <c r="M29" s="11">
        <f t="shared" si="0"/>
        <v>1.064814815617865E-2</v>
      </c>
      <c r="N29" s="11">
        <f t="shared" si="1"/>
        <v>6.9884259261016268E-2</v>
      </c>
      <c r="O29" s="10">
        <v>45664.301076388889</v>
      </c>
      <c r="P29" s="11">
        <f t="shared" si="2"/>
        <v>3.071759259182727E-2</v>
      </c>
      <c r="Q29" s="12" t="s">
        <v>303</v>
      </c>
    </row>
    <row r="30" spans="1:17" ht="38.25" x14ac:dyDescent="0.45">
      <c r="A30" s="3" t="s">
        <v>304</v>
      </c>
      <c r="B30" s="3" t="s">
        <v>149</v>
      </c>
      <c r="C30" s="9">
        <v>32</v>
      </c>
      <c r="D30" s="3" t="s">
        <v>283</v>
      </c>
      <c r="E30" s="10">
        <v>45664.286539351851</v>
      </c>
      <c r="F30" s="10">
        <v>45664.291331018518</v>
      </c>
      <c r="G30" s="10">
        <v>45664.292685185188</v>
      </c>
      <c r="H30" s="3" t="s">
        <v>305</v>
      </c>
      <c r="I30" s="10">
        <v>45664.705243055563</v>
      </c>
      <c r="J30" s="10">
        <v>45664.735798611109</v>
      </c>
      <c r="K30" s="10">
        <v>45664.735798611109</v>
      </c>
      <c r="L30" s="10">
        <v>45664.736712962957</v>
      </c>
      <c r="M30" s="11">
        <f t="shared" si="0"/>
        <v>6.1458333366317675E-3</v>
      </c>
      <c r="N30" s="11">
        <f t="shared" si="1"/>
        <v>0.44402777776849689</v>
      </c>
      <c r="O30" s="10">
        <v>45664.300694444442</v>
      </c>
      <c r="P30" s="11">
        <f t="shared" si="2"/>
        <v>0.40454861112084473</v>
      </c>
      <c r="Q30" s="12" t="s">
        <v>306</v>
      </c>
    </row>
    <row r="31" spans="1:17" ht="38.25" x14ac:dyDescent="0.45">
      <c r="A31" s="3" t="s">
        <v>307</v>
      </c>
      <c r="B31" s="3" t="s">
        <v>149</v>
      </c>
      <c r="C31" s="9">
        <v>32</v>
      </c>
      <c r="D31" s="3" t="s">
        <v>283</v>
      </c>
      <c r="E31" s="10">
        <v>45664.286539351851</v>
      </c>
      <c r="F31" s="10">
        <v>45664.291331018518</v>
      </c>
      <c r="G31" s="10">
        <v>45664.292685185188</v>
      </c>
      <c r="H31" s="3" t="s">
        <v>305</v>
      </c>
      <c r="I31" s="10">
        <v>45664.705243055563</v>
      </c>
      <c r="J31" s="10">
        <v>45664.735798611109</v>
      </c>
      <c r="K31" s="10">
        <v>45664.735798611109</v>
      </c>
      <c r="L31" s="10">
        <v>45664.736712962957</v>
      </c>
      <c r="M31" s="11">
        <f t="shared" si="0"/>
        <v>6.1458333366317675E-3</v>
      </c>
      <c r="N31" s="11">
        <f t="shared" si="1"/>
        <v>0.44402777776849689</v>
      </c>
      <c r="O31" s="10">
        <v>45664.303449074083</v>
      </c>
      <c r="P31" s="11">
        <f t="shared" si="2"/>
        <v>0.40179398148029577</v>
      </c>
      <c r="Q31" s="12" t="s">
        <v>308</v>
      </c>
    </row>
    <row r="32" spans="1:17" ht="25.5" x14ac:dyDescent="0.45">
      <c r="A32" s="3" t="s">
        <v>309</v>
      </c>
      <c r="B32" s="3" t="s">
        <v>149</v>
      </c>
      <c r="C32" s="9">
        <v>32</v>
      </c>
      <c r="D32" s="3" t="s">
        <v>283</v>
      </c>
      <c r="E32" s="10">
        <v>45664.286539351851</v>
      </c>
      <c r="F32" s="10">
        <v>45664.291331018518</v>
      </c>
      <c r="G32" s="10">
        <v>45664.292685185188</v>
      </c>
      <c r="H32" s="3" t="s">
        <v>305</v>
      </c>
      <c r="I32" s="10">
        <v>45664.705243055563</v>
      </c>
      <c r="J32" s="10">
        <v>45664.735798611109</v>
      </c>
      <c r="K32" s="10">
        <v>45664.735798611109</v>
      </c>
      <c r="L32" s="10">
        <v>45664.736712962957</v>
      </c>
      <c r="M32" s="11">
        <f t="shared" si="0"/>
        <v>6.1458333366317675E-3</v>
      </c>
      <c r="N32" s="11">
        <f t="shared" si="1"/>
        <v>0.44402777776849689</v>
      </c>
      <c r="O32" s="10">
        <v>45664.304895833331</v>
      </c>
      <c r="P32" s="11">
        <f t="shared" si="2"/>
        <v>0.40034722223208519</v>
      </c>
      <c r="Q32" s="12" t="s">
        <v>310</v>
      </c>
    </row>
    <row r="33" spans="1:17" ht="25.5" x14ac:dyDescent="0.45">
      <c r="A33" s="3" t="s">
        <v>311</v>
      </c>
      <c r="B33" s="3" t="s">
        <v>150</v>
      </c>
      <c r="C33" s="9">
        <v>48</v>
      </c>
      <c r="D33" s="3" t="s">
        <v>231</v>
      </c>
      <c r="E33" s="10">
        <v>45664.293958333343</v>
      </c>
      <c r="F33" s="10">
        <v>45664.300185185188</v>
      </c>
      <c r="G33" s="10">
        <v>45664.301620370366</v>
      </c>
      <c r="H33" s="3" t="s">
        <v>302</v>
      </c>
      <c r="I33" s="10">
        <v>45664.331793981481</v>
      </c>
      <c r="J33" s="10">
        <v>45664.356793981482</v>
      </c>
      <c r="K33" s="10">
        <v>45664.356793981482</v>
      </c>
      <c r="L33" s="10">
        <v>45664.357673611114</v>
      </c>
      <c r="M33" s="11">
        <f t="shared" si="0"/>
        <v>7.6620370236923918E-3</v>
      </c>
      <c r="N33" s="11">
        <f t="shared" si="1"/>
        <v>5.6053240747132804E-2</v>
      </c>
      <c r="O33" s="10">
        <v>45664.309062499997</v>
      </c>
      <c r="P33" s="11">
        <f t="shared" si="2"/>
        <v>2.273148148378823E-2</v>
      </c>
      <c r="Q33" s="12" t="s">
        <v>312</v>
      </c>
    </row>
    <row r="34" spans="1:17" ht="25.5" x14ac:dyDescent="0.45">
      <c r="A34" s="3" t="s">
        <v>313</v>
      </c>
      <c r="B34" s="3" t="s">
        <v>150</v>
      </c>
      <c r="C34" s="9">
        <v>32</v>
      </c>
      <c r="D34" s="3" t="s">
        <v>231</v>
      </c>
      <c r="E34" s="10">
        <v>45664.293958333343</v>
      </c>
      <c r="F34" s="10">
        <v>45664.300185185188</v>
      </c>
      <c r="G34" s="10">
        <v>45664.301620370366</v>
      </c>
      <c r="H34" s="3" t="s">
        <v>302</v>
      </c>
      <c r="I34" s="10">
        <v>45664.331793981481</v>
      </c>
      <c r="J34" s="10">
        <v>45664.356793981482</v>
      </c>
      <c r="K34" s="10">
        <v>45664.356793981482</v>
      </c>
      <c r="L34" s="10">
        <v>45664.357673611114</v>
      </c>
      <c r="M34" s="11">
        <f t="shared" si="0"/>
        <v>7.6620370236923918E-3</v>
      </c>
      <c r="N34" s="11">
        <f t="shared" si="1"/>
        <v>5.6053240747132804E-2</v>
      </c>
      <c r="O34" s="10">
        <v>45664.308125000003</v>
      </c>
      <c r="P34" s="11">
        <f t="shared" si="2"/>
        <v>2.3668981477385387E-2</v>
      </c>
      <c r="Q34" s="12" t="s">
        <v>314</v>
      </c>
    </row>
    <row r="35" spans="1:17" ht="25.5" x14ac:dyDescent="0.45">
      <c r="A35" s="3" t="s">
        <v>315</v>
      </c>
      <c r="B35" s="3" t="s">
        <v>150</v>
      </c>
      <c r="C35" s="9">
        <v>64</v>
      </c>
      <c r="D35" s="3" t="s">
        <v>263</v>
      </c>
      <c r="E35" s="10">
        <v>45664.293958333343</v>
      </c>
      <c r="F35" s="10">
        <v>45664.301620370366</v>
      </c>
      <c r="G35" s="10">
        <v>45664.30300925926</v>
      </c>
      <c r="H35" s="3" t="s">
        <v>299</v>
      </c>
      <c r="I35" s="10">
        <v>45664.33185185185</v>
      </c>
      <c r="J35" s="10">
        <v>45664.356851851851</v>
      </c>
      <c r="K35" s="10">
        <v>45664.357673611114</v>
      </c>
      <c r="L35" s="10">
        <v>45664.358541666668</v>
      </c>
      <c r="M35" s="11">
        <f t="shared" si="0"/>
        <v>9.0509259171085432E-3</v>
      </c>
      <c r="N35" s="11">
        <f t="shared" si="1"/>
        <v>5.5532407408463769E-2</v>
      </c>
      <c r="O35" s="10">
        <v>45664.313923611109</v>
      </c>
      <c r="P35" s="11">
        <f t="shared" si="2"/>
        <v>1.7928240740729962E-2</v>
      </c>
      <c r="Q35" s="12" t="s">
        <v>316</v>
      </c>
    </row>
    <row r="36" spans="1:17" ht="25.5" x14ac:dyDescent="0.45">
      <c r="A36" s="3" t="s">
        <v>317</v>
      </c>
      <c r="B36" s="3" t="s">
        <v>150</v>
      </c>
      <c r="C36" s="9">
        <v>48</v>
      </c>
      <c r="D36" s="3" t="s">
        <v>263</v>
      </c>
      <c r="E36" s="10">
        <v>45664.293958333343</v>
      </c>
      <c r="F36" s="10">
        <v>45664.301620370366</v>
      </c>
      <c r="G36" s="10">
        <v>45664.30300925926</v>
      </c>
      <c r="H36" s="3" t="s">
        <v>299</v>
      </c>
      <c r="I36" s="10">
        <v>45664.33185185185</v>
      </c>
      <c r="J36" s="10">
        <v>45664.356851851851</v>
      </c>
      <c r="K36" s="10">
        <v>45664.357673611114</v>
      </c>
      <c r="L36" s="10">
        <v>45664.358541666668</v>
      </c>
      <c r="M36" s="11">
        <f t="shared" si="0"/>
        <v>9.0509259171085432E-3</v>
      </c>
      <c r="N36" s="11">
        <f t="shared" si="1"/>
        <v>5.5532407408463769E-2</v>
      </c>
      <c r="O36" s="10">
        <v>45664.313958333332</v>
      </c>
      <c r="P36" s="11">
        <f t="shared" si="2"/>
        <v>1.7893518517666962E-2</v>
      </c>
      <c r="Q36" s="12" t="s">
        <v>318</v>
      </c>
    </row>
    <row r="37" spans="1:17" ht="25.5" x14ac:dyDescent="0.45">
      <c r="A37" s="3" t="s">
        <v>319</v>
      </c>
      <c r="B37" s="3" t="s">
        <v>151</v>
      </c>
      <c r="C37" s="9">
        <v>32</v>
      </c>
      <c r="D37" s="3" t="s">
        <v>247</v>
      </c>
      <c r="E37" s="10">
        <v>45664.543553240743</v>
      </c>
      <c r="F37" s="10">
        <v>45664.548784722218</v>
      </c>
      <c r="G37" s="10">
        <v>45664.549826388888</v>
      </c>
      <c r="H37" s="3" t="s">
        <v>320</v>
      </c>
      <c r="I37" s="10">
        <v>45664.56045138889</v>
      </c>
      <c r="J37" s="10">
        <v>45664.582673611112</v>
      </c>
      <c r="K37" s="10">
        <v>45664.582673611112</v>
      </c>
      <c r="L37" s="10">
        <v>45664.583437499998</v>
      </c>
      <c r="M37" s="11">
        <f t="shared" si="0"/>
        <v>6.2731481448281556E-3</v>
      </c>
      <c r="N37" s="11">
        <f t="shared" si="1"/>
        <v>3.3611111110076308E-2</v>
      </c>
      <c r="O37" s="10">
        <v>45664.553564814807</v>
      </c>
      <c r="P37" s="11">
        <f t="shared" si="2"/>
        <v>6.8865740831824951E-3</v>
      </c>
      <c r="Q37" s="12" t="s">
        <v>321</v>
      </c>
    </row>
    <row r="38" spans="1:17" ht="25.5" x14ac:dyDescent="0.45">
      <c r="A38" s="3" t="s">
        <v>322</v>
      </c>
      <c r="B38" s="3" t="s">
        <v>151</v>
      </c>
      <c r="C38" s="9">
        <v>48</v>
      </c>
      <c r="D38" s="3" t="s">
        <v>247</v>
      </c>
      <c r="E38" s="10">
        <v>45664.543553240743</v>
      </c>
      <c r="F38" s="10">
        <v>45664.548784722218</v>
      </c>
      <c r="G38" s="10">
        <v>45664.549826388888</v>
      </c>
      <c r="H38" s="3" t="s">
        <v>320</v>
      </c>
      <c r="I38" s="10">
        <v>45664.56045138889</v>
      </c>
      <c r="J38" s="10">
        <v>45664.582673611112</v>
      </c>
      <c r="K38" s="10">
        <v>45664.582673611112</v>
      </c>
      <c r="L38" s="10">
        <v>45664.583437499998</v>
      </c>
      <c r="M38" s="11">
        <f t="shared" si="0"/>
        <v>6.2731481448281556E-3</v>
      </c>
      <c r="N38" s="11">
        <f t="shared" si="1"/>
        <v>3.3611111110076308E-2</v>
      </c>
      <c r="O38" s="10">
        <v>45664.558796296304</v>
      </c>
      <c r="P38" s="11">
        <f t="shared" si="2"/>
        <v>1.6550925865885802E-3</v>
      </c>
      <c r="Q38" s="12" t="s">
        <v>323</v>
      </c>
    </row>
    <row r="39" spans="1:17" ht="25.5" x14ac:dyDescent="0.45">
      <c r="A39" s="3" t="s">
        <v>324</v>
      </c>
      <c r="B39" s="3" t="s">
        <v>151</v>
      </c>
      <c r="C39" s="9">
        <v>48</v>
      </c>
      <c r="D39" s="3" t="s">
        <v>247</v>
      </c>
      <c r="E39" s="10">
        <v>45664.543553240743</v>
      </c>
      <c r="F39" s="10">
        <v>45664.548784722218</v>
      </c>
      <c r="G39" s="10">
        <v>45664.549826388888</v>
      </c>
      <c r="H39" s="3" t="s">
        <v>320</v>
      </c>
      <c r="I39" s="10">
        <v>45664.56045138889</v>
      </c>
      <c r="J39" s="10">
        <v>45664.582673611112</v>
      </c>
      <c r="K39" s="10">
        <v>45664.582673611112</v>
      </c>
      <c r="L39" s="10">
        <v>45664.583437499998</v>
      </c>
      <c r="M39" s="11">
        <f t="shared" si="0"/>
        <v>6.2731481448281556E-3</v>
      </c>
      <c r="N39" s="11">
        <f t="shared" si="1"/>
        <v>3.3611111110076308E-2</v>
      </c>
      <c r="O39" s="10">
        <v>45664.559664351851</v>
      </c>
      <c r="P39" s="11">
        <f t="shared" si="2"/>
        <v>7.8703703911742195E-4</v>
      </c>
      <c r="Q39" s="12" t="s">
        <v>325</v>
      </c>
    </row>
    <row r="40" spans="1:17" ht="25.5" x14ac:dyDescent="0.45">
      <c r="A40" s="3" t="s">
        <v>326</v>
      </c>
      <c r="B40" s="3" t="s">
        <v>152</v>
      </c>
      <c r="C40" s="9">
        <v>32</v>
      </c>
      <c r="D40" s="3" t="s">
        <v>283</v>
      </c>
      <c r="E40" s="10">
        <v>45664.689270833333</v>
      </c>
      <c r="F40" s="10">
        <v>45664.693993055553</v>
      </c>
      <c r="G40" s="10">
        <v>45664.695300925923</v>
      </c>
      <c r="H40" s="3" t="s">
        <v>305</v>
      </c>
      <c r="I40" s="10">
        <v>45664.705243055563</v>
      </c>
      <c r="J40" s="10">
        <v>45664.735798611109</v>
      </c>
      <c r="K40" s="10">
        <v>45664.735798611109</v>
      </c>
      <c r="L40" s="10">
        <v>45664.736712962957</v>
      </c>
      <c r="M40" s="11">
        <f t="shared" si="0"/>
        <v>6.0300925906631164E-3</v>
      </c>
      <c r="N40" s="11">
        <f t="shared" si="1"/>
        <v>4.1412037033296656E-2</v>
      </c>
      <c r="O40" s="10">
        <v>45664.701064814813</v>
      </c>
      <c r="P40" s="11">
        <f t="shared" si="2"/>
        <v>4.178240749752149E-3</v>
      </c>
      <c r="Q40" s="12" t="s">
        <v>327</v>
      </c>
    </row>
    <row r="41" spans="1:17" ht="25.5" x14ac:dyDescent="0.45">
      <c r="A41" s="3" t="s">
        <v>328</v>
      </c>
      <c r="B41" s="3" t="s">
        <v>152</v>
      </c>
      <c r="C41" s="9">
        <v>48</v>
      </c>
      <c r="D41" s="3" t="s">
        <v>283</v>
      </c>
      <c r="E41" s="10">
        <v>45664.689270833333</v>
      </c>
      <c r="F41" s="10">
        <v>45664.693993055553</v>
      </c>
      <c r="G41" s="10">
        <v>45664.695300925923</v>
      </c>
      <c r="H41" s="3" t="s">
        <v>305</v>
      </c>
      <c r="I41" s="10">
        <v>45664.705243055563</v>
      </c>
      <c r="J41" s="10">
        <v>45664.735798611109</v>
      </c>
      <c r="K41" s="10">
        <v>45664.735798611109</v>
      </c>
      <c r="L41" s="10">
        <v>45664.736712962957</v>
      </c>
      <c r="M41" s="11">
        <f t="shared" si="0"/>
        <v>6.0300925906631164E-3</v>
      </c>
      <c r="N41" s="11">
        <f t="shared" si="1"/>
        <v>4.1412037033296656E-2</v>
      </c>
      <c r="O41" s="10">
        <v>45664.704375000001</v>
      </c>
      <c r="P41" s="11">
        <f t="shared" si="2"/>
        <v>8.6805556202307343E-4</v>
      </c>
      <c r="Q41" s="12" t="s">
        <v>329</v>
      </c>
    </row>
    <row r="42" spans="1:17" ht="25.5" x14ac:dyDescent="0.45">
      <c r="A42" s="3" t="s">
        <v>330</v>
      </c>
      <c r="B42" s="3" t="s">
        <v>153</v>
      </c>
      <c r="C42" s="9">
        <v>32</v>
      </c>
      <c r="D42" s="3" t="s">
        <v>263</v>
      </c>
      <c r="E42" s="10">
        <v>45664.834699074083</v>
      </c>
      <c r="F42" s="10">
        <v>45664.839097222219</v>
      </c>
      <c r="G42" s="10">
        <v>45664.840150462973</v>
      </c>
      <c r="H42" s="3" t="s">
        <v>331</v>
      </c>
      <c r="I42" s="10">
        <v>45665.254490740743</v>
      </c>
      <c r="J42" s="10">
        <v>45665.276712962957</v>
      </c>
      <c r="K42" s="10">
        <v>45665.276712962957</v>
      </c>
      <c r="L42" s="10">
        <v>45665.27747685185</v>
      </c>
      <c r="M42" s="11">
        <f t="shared" si="0"/>
        <v>5.4513888899236917E-3</v>
      </c>
      <c r="N42" s="11">
        <f t="shared" si="1"/>
        <v>0.43732638887740904</v>
      </c>
      <c r="O42" s="10">
        <v>45664.844282407408</v>
      </c>
      <c r="P42" s="11">
        <f t="shared" si="2"/>
        <v>0.4102083333345945</v>
      </c>
      <c r="Q42" s="12" t="s">
        <v>332</v>
      </c>
    </row>
    <row r="43" spans="1:17" ht="25.5" x14ac:dyDescent="0.45">
      <c r="A43" s="3" t="s">
        <v>333</v>
      </c>
      <c r="B43" s="3" t="s">
        <v>153</v>
      </c>
      <c r="C43" s="9">
        <v>32</v>
      </c>
      <c r="D43" s="3" t="s">
        <v>283</v>
      </c>
      <c r="E43" s="10">
        <v>45664.834699074083</v>
      </c>
      <c r="F43" s="10">
        <v>45664.840150462973</v>
      </c>
      <c r="G43" s="10">
        <v>45664.841296296298</v>
      </c>
      <c r="H43" s="3" t="s">
        <v>334</v>
      </c>
      <c r="I43" s="10">
        <v>45665.25545138889</v>
      </c>
      <c r="J43" s="10">
        <v>45665.277673611112</v>
      </c>
      <c r="K43" s="10">
        <v>45665.277673611112</v>
      </c>
      <c r="L43" s="10">
        <v>45665.278402777767</v>
      </c>
      <c r="M43" s="11">
        <f t="shared" si="0"/>
        <v>6.5972222146228887E-3</v>
      </c>
      <c r="N43" s="11">
        <f t="shared" si="1"/>
        <v>0.43710648146952735</v>
      </c>
      <c r="O43" s="10">
        <v>45664.845393518517</v>
      </c>
      <c r="P43" s="11">
        <f t="shared" si="2"/>
        <v>0.41005787037283881</v>
      </c>
      <c r="Q43" s="12" t="s">
        <v>335</v>
      </c>
    </row>
    <row r="44" spans="1:17" ht="25.5" x14ac:dyDescent="0.45">
      <c r="A44" s="3" t="s">
        <v>336</v>
      </c>
      <c r="B44" s="3" t="s">
        <v>155</v>
      </c>
      <c r="C44" s="9">
        <v>32</v>
      </c>
      <c r="D44" s="3" t="s">
        <v>283</v>
      </c>
      <c r="E44" s="10">
        <v>45665.231203703697</v>
      </c>
      <c r="F44" s="10">
        <v>45665.242071759261</v>
      </c>
      <c r="G44" s="10">
        <v>45665.242974537039</v>
      </c>
      <c r="H44" s="3" t="s">
        <v>334</v>
      </c>
      <c r="I44" s="10">
        <v>45665.25545138889</v>
      </c>
      <c r="J44" s="10">
        <v>45665.277673611112</v>
      </c>
      <c r="K44" s="10">
        <v>45665.277673611112</v>
      </c>
      <c r="L44" s="10">
        <v>45665.278402777767</v>
      </c>
      <c r="M44" s="11">
        <f t="shared" si="0"/>
        <v>1.1770833341870457E-2</v>
      </c>
      <c r="N44" s="11">
        <f t="shared" si="1"/>
        <v>3.5428240727924276E-2</v>
      </c>
      <c r="O44" s="10">
        <v>45665.248715277783</v>
      </c>
      <c r="P44" s="11">
        <f t="shared" si="2"/>
        <v>6.7361111068748869E-3</v>
      </c>
      <c r="Q44" s="12" t="s">
        <v>337</v>
      </c>
    </row>
    <row r="45" spans="1:17" ht="25.5" x14ac:dyDescent="0.45">
      <c r="A45" s="3" t="s">
        <v>338</v>
      </c>
      <c r="B45" s="3" t="s">
        <v>155</v>
      </c>
      <c r="C45" s="9">
        <v>64</v>
      </c>
      <c r="D45" s="3" t="s">
        <v>263</v>
      </c>
      <c r="E45" s="10">
        <v>45665.231203703697</v>
      </c>
      <c r="F45" s="10">
        <v>45665.242974537039</v>
      </c>
      <c r="G45" s="10">
        <v>45665.243946759263</v>
      </c>
      <c r="H45" s="3" t="s">
        <v>331</v>
      </c>
      <c r="I45" s="10">
        <v>45665.254490740743</v>
      </c>
      <c r="J45" s="10">
        <v>45665.276712962957</v>
      </c>
      <c r="K45" s="10">
        <v>45665.276712962957</v>
      </c>
      <c r="L45" s="10">
        <v>45665.27747685185</v>
      </c>
      <c r="M45" s="11">
        <f t="shared" si="0"/>
        <v>1.2743055565806571E-2</v>
      </c>
      <c r="N45" s="11">
        <f t="shared" si="1"/>
        <v>3.3530092587170657E-2</v>
      </c>
      <c r="O45" s="10">
        <v>45665.253622685188</v>
      </c>
      <c r="P45" s="11">
        <f t="shared" si="2"/>
        <v>8.6805555474711582E-4</v>
      </c>
      <c r="Q45" s="12" t="s">
        <v>339</v>
      </c>
    </row>
    <row r="46" spans="1:17" ht="25.5" x14ac:dyDescent="0.45">
      <c r="A46" s="3" t="s">
        <v>340</v>
      </c>
      <c r="B46" s="3" t="s">
        <v>155</v>
      </c>
      <c r="C46" s="9">
        <v>32</v>
      </c>
      <c r="D46" s="3" t="s">
        <v>263</v>
      </c>
      <c r="E46" s="10">
        <v>45665.231203703697</v>
      </c>
      <c r="F46" s="10">
        <v>45665.242974537039</v>
      </c>
      <c r="G46" s="10">
        <v>45665.243946759263</v>
      </c>
      <c r="H46" s="3" t="s">
        <v>331</v>
      </c>
      <c r="I46" s="10">
        <v>45665.254490740743</v>
      </c>
      <c r="J46" s="10">
        <v>45665.276712962957</v>
      </c>
      <c r="K46" s="10">
        <v>45665.276712962957</v>
      </c>
      <c r="L46" s="10">
        <v>45665.27747685185</v>
      </c>
      <c r="M46" s="11">
        <f t="shared" si="0"/>
        <v>1.2743055565806571E-2</v>
      </c>
      <c r="N46" s="11">
        <f t="shared" si="1"/>
        <v>3.3530092587170657E-2</v>
      </c>
      <c r="O46" s="10">
        <v>45665.250497685192</v>
      </c>
      <c r="P46" s="11">
        <f t="shared" si="2"/>
        <v>3.9930555503815413E-3</v>
      </c>
      <c r="Q46" s="12" t="s">
        <v>341</v>
      </c>
    </row>
    <row r="47" spans="1:17" ht="25.5" x14ac:dyDescent="0.45">
      <c r="A47" s="3" t="s">
        <v>342</v>
      </c>
      <c r="B47" s="3" t="s">
        <v>155</v>
      </c>
      <c r="C47" s="9">
        <v>64</v>
      </c>
      <c r="D47" s="3" t="s">
        <v>283</v>
      </c>
      <c r="E47" s="10">
        <v>45665.231203703697</v>
      </c>
      <c r="F47" s="10">
        <v>45665.243946759263</v>
      </c>
      <c r="G47" s="10">
        <v>45665.24491898148</v>
      </c>
      <c r="H47" s="3" t="s">
        <v>334</v>
      </c>
      <c r="I47" s="10">
        <v>45665.25545138889</v>
      </c>
      <c r="J47" s="10">
        <v>45665.277673611112</v>
      </c>
      <c r="K47" s="10">
        <v>45665.277673611112</v>
      </c>
      <c r="L47" s="10">
        <v>45665.278402777767</v>
      </c>
      <c r="M47" s="11">
        <f t="shared" si="0"/>
        <v>1.3715277782466728E-2</v>
      </c>
      <c r="N47" s="11">
        <f t="shared" si="1"/>
        <v>3.3483796287328005E-2</v>
      </c>
      <c r="O47" s="10">
        <v>45665.254583333342</v>
      </c>
      <c r="P47" s="11">
        <f t="shared" si="2"/>
        <v>8.6805554747115821E-4</v>
      </c>
      <c r="Q47" s="12" t="s">
        <v>343</v>
      </c>
    </row>
    <row r="48" spans="1:17" ht="38.25" x14ac:dyDescent="0.45">
      <c r="A48" s="3" t="s">
        <v>344</v>
      </c>
      <c r="B48" s="3" t="s">
        <v>157</v>
      </c>
      <c r="C48" s="9">
        <v>32</v>
      </c>
      <c r="D48" s="3" t="s">
        <v>231</v>
      </c>
      <c r="E48" s="10">
        <v>45665.230543981481</v>
      </c>
      <c r="F48" s="10">
        <v>45665.239861111113</v>
      </c>
      <c r="G48" s="10">
        <v>45665.24119212963</v>
      </c>
      <c r="H48" s="3" t="s">
        <v>345</v>
      </c>
      <c r="I48" s="10">
        <v>45665.404583333337</v>
      </c>
      <c r="J48" s="10">
        <v>45665.446250000001</v>
      </c>
      <c r="K48" s="10">
        <v>45665.446250000001</v>
      </c>
      <c r="L48" s="10">
        <v>45665.447395833333</v>
      </c>
      <c r="M48" s="11">
        <f t="shared" si="0"/>
        <v>1.0648148148902692E-2</v>
      </c>
      <c r="N48" s="11">
        <f t="shared" si="1"/>
        <v>0.20620370370306773</v>
      </c>
      <c r="O48" s="10">
        <v>45665.245324074072</v>
      </c>
      <c r="P48" s="11">
        <f t="shared" si="2"/>
        <v>0.15925925926421769</v>
      </c>
      <c r="Q48" s="12" t="s">
        <v>346</v>
      </c>
    </row>
    <row r="49" spans="1:17" ht="38.25" x14ac:dyDescent="0.45">
      <c r="A49" s="3" t="s">
        <v>347</v>
      </c>
      <c r="B49" s="3" t="s">
        <v>157</v>
      </c>
      <c r="C49" s="9">
        <v>64</v>
      </c>
      <c r="D49" s="3" t="s">
        <v>231</v>
      </c>
      <c r="E49" s="10">
        <v>45665.230543981481</v>
      </c>
      <c r="F49" s="10">
        <v>45665.239861111113</v>
      </c>
      <c r="G49" s="10">
        <v>45665.24119212963</v>
      </c>
      <c r="H49" s="3" t="s">
        <v>345</v>
      </c>
      <c r="I49" s="10">
        <v>45665.404583333337</v>
      </c>
      <c r="J49" s="10">
        <v>45665.446250000001</v>
      </c>
      <c r="K49" s="10">
        <v>45665.446250000001</v>
      </c>
      <c r="L49" s="10">
        <v>45665.447395833333</v>
      </c>
      <c r="M49" s="11">
        <f t="shared" si="0"/>
        <v>1.0648148148902692E-2</v>
      </c>
      <c r="N49" s="11">
        <f t="shared" si="1"/>
        <v>0.20620370370306773</v>
      </c>
      <c r="O49" s="10">
        <v>45665.25267361111</v>
      </c>
      <c r="P49" s="11">
        <f t="shared" si="2"/>
        <v>0.15190972222626442</v>
      </c>
      <c r="Q49" s="12" t="s">
        <v>348</v>
      </c>
    </row>
    <row r="50" spans="1:17" ht="25.5" x14ac:dyDescent="0.45">
      <c r="A50" s="3" t="s">
        <v>349</v>
      </c>
      <c r="B50" s="3" t="s">
        <v>156</v>
      </c>
      <c r="C50" s="9">
        <v>32</v>
      </c>
      <c r="D50" s="3" t="s">
        <v>350</v>
      </c>
      <c r="E50" s="10">
        <v>45665.230532407397</v>
      </c>
      <c r="F50" s="10">
        <v>45665.235798611109</v>
      </c>
      <c r="G50" s="10">
        <v>45665.237361111111</v>
      </c>
      <c r="H50" s="3" t="s">
        <v>351</v>
      </c>
      <c r="I50" s="10">
        <v>45667.338460648149</v>
      </c>
      <c r="J50" s="10">
        <v>45667.360682870371</v>
      </c>
      <c r="K50" s="10">
        <v>45667.360682870371</v>
      </c>
      <c r="L50" s="10">
        <v>45667.361377314817</v>
      </c>
      <c r="M50" s="11">
        <f t="shared" si="0"/>
        <v>6.8287037138361484E-3</v>
      </c>
      <c r="N50" s="11">
        <f t="shared" si="1"/>
        <v>2.1240162037065602</v>
      </c>
      <c r="O50" s="10">
        <v>45665.241469907407</v>
      </c>
      <c r="P50" s="11">
        <f t="shared" si="2"/>
        <v>2.0969907407416031</v>
      </c>
      <c r="Q50" s="12" t="s">
        <v>352</v>
      </c>
    </row>
    <row r="51" spans="1:17" ht="38.25" x14ac:dyDescent="0.45">
      <c r="A51" s="3" t="s">
        <v>353</v>
      </c>
      <c r="B51" s="3" t="s">
        <v>156</v>
      </c>
      <c r="C51" s="9">
        <v>32</v>
      </c>
      <c r="D51" s="3" t="s">
        <v>354</v>
      </c>
      <c r="E51" s="10">
        <v>45665.230532407397</v>
      </c>
      <c r="F51" s="10">
        <v>45665.237361111111</v>
      </c>
      <c r="G51" s="10">
        <v>45665.238993055558</v>
      </c>
      <c r="H51" s="3" t="s">
        <v>355</v>
      </c>
      <c r="I51" s="10">
        <v>45665.394733796304</v>
      </c>
      <c r="J51" s="10">
        <v>45665.42528935185</v>
      </c>
      <c r="K51" s="10">
        <v>45665.42528935185</v>
      </c>
      <c r="L51" s="10">
        <v>45665.426203703697</v>
      </c>
      <c r="M51" s="11">
        <f t="shared" si="0"/>
        <v>8.460648161417339E-3</v>
      </c>
      <c r="N51" s="11">
        <f t="shared" si="1"/>
        <v>0.18721064813871635</v>
      </c>
      <c r="O51" s="10">
        <v>45665.243125000001</v>
      </c>
      <c r="P51" s="11">
        <f t="shared" si="2"/>
        <v>0.15160879630275303</v>
      </c>
      <c r="Q51" s="12" t="s">
        <v>356</v>
      </c>
    </row>
    <row r="52" spans="1:17" ht="25.5" x14ac:dyDescent="0.45">
      <c r="A52" s="3" t="s">
        <v>357</v>
      </c>
      <c r="B52" s="3" t="s">
        <v>158</v>
      </c>
      <c r="C52" s="9">
        <v>32</v>
      </c>
      <c r="D52" s="3" t="s">
        <v>255</v>
      </c>
      <c r="E52" s="10">
        <v>45665.377002314817</v>
      </c>
      <c r="F52" s="10">
        <v>45665.383171296293</v>
      </c>
      <c r="G52" s="10">
        <v>45665.383993055562</v>
      </c>
      <c r="H52" s="3" t="s">
        <v>358</v>
      </c>
      <c r="I52" s="10">
        <v>45665.615358796298</v>
      </c>
      <c r="J52" s="10">
        <v>45665.6403587963</v>
      </c>
      <c r="K52" s="10">
        <v>45665.6403587963</v>
      </c>
      <c r="L52" s="10">
        <v>45665.641168981478</v>
      </c>
      <c r="M52" s="11">
        <f t="shared" si="0"/>
        <v>6.9907407450955361E-3</v>
      </c>
      <c r="N52" s="11">
        <f t="shared" si="1"/>
        <v>0.25717592591536231</v>
      </c>
      <c r="O52" s="10">
        <v>45665.388124999998</v>
      </c>
      <c r="P52" s="11">
        <f t="shared" si="2"/>
        <v>0.22723379630042473</v>
      </c>
      <c r="Q52" s="12" t="s">
        <v>359</v>
      </c>
    </row>
    <row r="53" spans="1:17" ht="25.5" x14ac:dyDescent="0.45">
      <c r="A53" s="3" t="s">
        <v>360</v>
      </c>
      <c r="B53" s="3" t="s">
        <v>158</v>
      </c>
      <c r="C53" s="9">
        <v>48</v>
      </c>
      <c r="D53" s="3" t="s">
        <v>354</v>
      </c>
      <c r="E53" s="10">
        <v>45665.377002314817</v>
      </c>
      <c r="F53" s="10">
        <v>45665.383993055562</v>
      </c>
      <c r="G53" s="10">
        <v>45665.385659722233</v>
      </c>
      <c r="H53" s="3" t="s">
        <v>355</v>
      </c>
      <c r="I53" s="10">
        <v>45665.394733796304</v>
      </c>
      <c r="J53" s="10">
        <v>45665.42528935185</v>
      </c>
      <c r="K53" s="10">
        <v>45665.42528935185</v>
      </c>
      <c r="L53" s="10">
        <v>45665.426203703697</v>
      </c>
      <c r="M53" s="11">
        <f t="shared" si="0"/>
        <v>8.6574074157397263E-3</v>
      </c>
      <c r="N53" s="11">
        <f t="shared" si="1"/>
        <v>4.0543981463997625E-2</v>
      </c>
      <c r="O53" s="10">
        <v>45665.393113425933</v>
      </c>
      <c r="P53" s="11">
        <f t="shared" si="2"/>
        <v>1.6203703708015382E-3</v>
      </c>
      <c r="Q53" s="12" t="s">
        <v>361</v>
      </c>
    </row>
    <row r="54" spans="1:17" ht="38.25" x14ac:dyDescent="0.45">
      <c r="A54" s="3" t="s">
        <v>362</v>
      </c>
      <c r="B54" s="3" t="s">
        <v>158</v>
      </c>
      <c r="C54" s="9">
        <v>32</v>
      </c>
      <c r="D54" s="3" t="s">
        <v>354</v>
      </c>
      <c r="E54" s="10">
        <v>45665.377002314817</v>
      </c>
      <c r="F54" s="10">
        <v>45665.383993055562</v>
      </c>
      <c r="G54" s="10">
        <v>45665.385659722233</v>
      </c>
      <c r="H54" s="3" t="s">
        <v>355</v>
      </c>
      <c r="I54" s="10">
        <v>45665.394733796304</v>
      </c>
      <c r="J54" s="10">
        <v>45665.42528935185</v>
      </c>
      <c r="K54" s="10">
        <v>45665.42528935185</v>
      </c>
      <c r="L54" s="10">
        <v>45665.426203703697</v>
      </c>
      <c r="M54" s="11">
        <f t="shared" si="0"/>
        <v>8.6574074157397263E-3</v>
      </c>
      <c r="N54" s="11">
        <f t="shared" si="1"/>
        <v>4.0543981463997625E-2</v>
      </c>
      <c r="O54" s="10">
        <v>45665.392199074071</v>
      </c>
      <c r="P54" s="11">
        <f t="shared" si="2"/>
        <v>2.5347222326672636E-3</v>
      </c>
      <c r="Q54" s="12" t="s">
        <v>363</v>
      </c>
    </row>
    <row r="55" spans="1:17" ht="25.5" x14ac:dyDescent="0.45">
      <c r="A55" s="3" t="s">
        <v>364</v>
      </c>
      <c r="B55" s="3" t="s">
        <v>158</v>
      </c>
      <c r="C55" s="9">
        <v>32</v>
      </c>
      <c r="D55" s="3" t="s">
        <v>354</v>
      </c>
      <c r="E55" s="10">
        <v>45665.377002314817</v>
      </c>
      <c r="F55" s="10">
        <v>45665.383993055562</v>
      </c>
      <c r="G55" s="10">
        <v>45665.385659722233</v>
      </c>
      <c r="H55" s="3" t="s">
        <v>355</v>
      </c>
      <c r="I55" s="10">
        <v>45665.394733796304</v>
      </c>
      <c r="J55" s="10">
        <v>45665.42528935185</v>
      </c>
      <c r="K55" s="10">
        <v>45665.42528935185</v>
      </c>
      <c r="L55" s="10">
        <v>45665.426203703697</v>
      </c>
      <c r="M55" s="11">
        <f t="shared" si="0"/>
        <v>8.6574074157397263E-3</v>
      </c>
      <c r="N55" s="11">
        <f t="shared" si="1"/>
        <v>4.0543981463997625E-2</v>
      </c>
      <c r="O55" s="10">
        <v>45665.39303240741</v>
      </c>
      <c r="P55" s="11">
        <f t="shared" si="2"/>
        <v>1.7013888937071897E-3</v>
      </c>
      <c r="Q55" s="12" t="s">
        <v>365</v>
      </c>
    </row>
    <row r="56" spans="1:17" ht="25.5" x14ac:dyDescent="0.45">
      <c r="A56" s="3" t="s">
        <v>366</v>
      </c>
      <c r="B56" s="3" t="s">
        <v>158</v>
      </c>
      <c r="C56" s="9">
        <v>32</v>
      </c>
      <c r="D56" s="3" t="s">
        <v>354</v>
      </c>
      <c r="E56" s="10">
        <v>45665.377002314817</v>
      </c>
      <c r="F56" s="10">
        <v>45665.383993055562</v>
      </c>
      <c r="G56" s="10">
        <v>45665.385659722233</v>
      </c>
      <c r="H56" s="3" t="s">
        <v>355</v>
      </c>
      <c r="I56" s="10">
        <v>45665.394733796304</v>
      </c>
      <c r="J56" s="10">
        <v>45665.42528935185</v>
      </c>
      <c r="K56" s="10">
        <v>45665.42528935185</v>
      </c>
      <c r="L56" s="10">
        <v>45665.426203703697</v>
      </c>
      <c r="M56" s="11">
        <f t="shared" si="0"/>
        <v>8.6574074157397263E-3</v>
      </c>
      <c r="N56" s="11">
        <f t="shared" si="1"/>
        <v>4.0543981463997625E-2</v>
      </c>
      <c r="O56" s="10">
        <v>45665.393368055556</v>
      </c>
      <c r="P56" s="11">
        <f t="shared" si="2"/>
        <v>1.3657407471328042E-3</v>
      </c>
      <c r="Q56" s="12" t="s">
        <v>367</v>
      </c>
    </row>
    <row r="57" spans="1:17" ht="25.5" x14ac:dyDescent="0.45">
      <c r="A57" s="3" t="s">
        <v>368</v>
      </c>
      <c r="B57" s="3" t="s">
        <v>159</v>
      </c>
      <c r="C57" s="9">
        <v>32</v>
      </c>
      <c r="D57" s="3" t="s">
        <v>231</v>
      </c>
      <c r="E57" s="10">
        <v>45665.382037037038</v>
      </c>
      <c r="F57" s="10">
        <v>45665.387685185182</v>
      </c>
      <c r="G57" s="10">
        <v>45665.389131944437</v>
      </c>
      <c r="H57" s="3" t="s">
        <v>345</v>
      </c>
      <c r="I57" s="10">
        <v>45665.404583333337</v>
      </c>
      <c r="J57" s="10">
        <v>45665.446250000001</v>
      </c>
      <c r="K57" s="10">
        <v>45665.446250000001</v>
      </c>
      <c r="L57" s="10">
        <v>45665.447395833333</v>
      </c>
      <c r="M57" s="11">
        <f t="shared" si="0"/>
        <v>7.0949073997326195E-3</v>
      </c>
      <c r="N57" s="11">
        <f t="shared" si="1"/>
        <v>5.826388889545342E-2</v>
      </c>
      <c r="O57" s="10">
        <v>45665.394884259258</v>
      </c>
      <c r="P57" s="11">
        <f t="shared" si="2"/>
        <v>9.6990740785258822E-3</v>
      </c>
      <c r="Q57" s="12" t="s">
        <v>369</v>
      </c>
    </row>
    <row r="58" spans="1:17" ht="25.5" x14ac:dyDescent="0.45">
      <c r="A58" s="3" t="s">
        <v>370</v>
      </c>
      <c r="B58" s="3" t="s">
        <v>159</v>
      </c>
      <c r="C58" s="9">
        <v>48</v>
      </c>
      <c r="D58" s="3" t="s">
        <v>231</v>
      </c>
      <c r="E58" s="10">
        <v>45665.382037037038</v>
      </c>
      <c r="F58" s="10">
        <v>45665.387685185182</v>
      </c>
      <c r="G58" s="10">
        <v>45665.389131944437</v>
      </c>
      <c r="H58" s="3" t="s">
        <v>345</v>
      </c>
      <c r="I58" s="10">
        <v>45665.404583333337</v>
      </c>
      <c r="J58" s="10">
        <v>45665.446250000001</v>
      </c>
      <c r="K58" s="10">
        <v>45665.446250000001</v>
      </c>
      <c r="L58" s="10">
        <v>45665.447395833333</v>
      </c>
      <c r="M58" s="11">
        <f t="shared" si="0"/>
        <v>7.0949073997326195E-3</v>
      </c>
      <c r="N58" s="11">
        <f t="shared" si="1"/>
        <v>5.826388889545342E-2</v>
      </c>
      <c r="O58" s="10">
        <v>45665.3981712963</v>
      </c>
      <c r="P58" s="11">
        <f t="shared" si="2"/>
        <v>6.4120370370801538E-3</v>
      </c>
      <c r="Q58" s="12" t="s">
        <v>371</v>
      </c>
    </row>
    <row r="59" spans="1:17" ht="25.5" x14ac:dyDescent="0.45">
      <c r="A59" s="3" t="s">
        <v>372</v>
      </c>
      <c r="B59" s="3" t="s">
        <v>159</v>
      </c>
      <c r="C59" s="9">
        <v>64</v>
      </c>
      <c r="D59" s="3" t="s">
        <v>231</v>
      </c>
      <c r="E59" s="10">
        <v>45665.382037037038</v>
      </c>
      <c r="F59" s="10">
        <v>45665.387685185182</v>
      </c>
      <c r="G59" s="10">
        <v>45665.389131944437</v>
      </c>
      <c r="H59" s="3" t="s">
        <v>345</v>
      </c>
      <c r="I59" s="10">
        <v>45665.404583333337</v>
      </c>
      <c r="J59" s="10">
        <v>45665.446250000001</v>
      </c>
      <c r="K59" s="10">
        <v>45665.446250000001</v>
      </c>
      <c r="L59" s="10">
        <v>45665.447395833333</v>
      </c>
      <c r="M59" s="11">
        <f t="shared" si="0"/>
        <v>7.0949073997326195E-3</v>
      </c>
      <c r="N59" s="11">
        <f t="shared" si="1"/>
        <v>5.826388889545342E-2</v>
      </c>
      <c r="O59" s="10">
        <v>45665.403715277767</v>
      </c>
      <c r="P59" s="11">
        <f t="shared" si="2"/>
        <v>8.6805556929903105E-4</v>
      </c>
      <c r="Q59" s="12" t="s">
        <v>373</v>
      </c>
    </row>
    <row r="60" spans="1:17" ht="38.25" x14ac:dyDescent="0.45">
      <c r="A60" s="3" t="s">
        <v>374</v>
      </c>
      <c r="B60" s="3" t="s">
        <v>160</v>
      </c>
      <c r="C60" s="9">
        <v>32</v>
      </c>
      <c r="D60" s="3" t="s">
        <v>354</v>
      </c>
      <c r="E60" s="10">
        <v>45665.398564814823</v>
      </c>
      <c r="F60" s="10">
        <v>45665.405057870368</v>
      </c>
      <c r="G60" s="10">
        <v>45665.405949074076</v>
      </c>
      <c r="H60" s="3" t="s">
        <v>375</v>
      </c>
      <c r="I60" s="10">
        <v>45665.456053240741</v>
      </c>
      <c r="J60" s="10">
        <v>45665.492164351846</v>
      </c>
      <c r="K60" s="10">
        <v>45665.492164351846</v>
      </c>
      <c r="L60" s="10">
        <v>45665.493067129632</v>
      </c>
      <c r="M60" s="11">
        <f t="shared" si="0"/>
        <v>7.3842592537403107E-3</v>
      </c>
      <c r="N60" s="11">
        <f t="shared" si="1"/>
        <v>8.7118055555038154E-2</v>
      </c>
      <c r="O60" s="10">
        <v>45665.409687500003</v>
      </c>
      <c r="P60" s="11">
        <f t="shared" si="2"/>
        <v>4.6365740738110617E-2</v>
      </c>
      <c r="Q60" s="12" t="s">
        <v>376</v>
      </c>
    </row>
    <row r="61" spans="1:17" ht="25.5" x14ac:dyDescent="0.45">
      <c r="A61" s="3" t="s">
        <v>377</v>
      </c>
      <c r="B61" s="3" t="s">
        <v>160</v>
      </c>
      <c r="C61" s="9">
        <v>64</v>
      </c>
      <c r="D61" s="3" t="s">
        <v>283</v>
      </c>
      <c r="E61" s="10">
        <v>45665.398564814823</v>
      </c>
      <c r="F61" s="10">
        <v>45665.405949074076</v>
      </c>
      <c r="G61" s="10">
        <v>45665.407465277778</v>
      </c>
      <c r="H61" s="3" t="s">
        <v>378</v>
      </c>
      <c r="I61" s="10">
        <v>45665.429837962962</v>
      </c>
      <c r="J61" s="10">
        <v>45665.457615740743</v>
      </c>
      <c r="K61" s="10">
        <v>45665.457615740743</v>
      </c>
      <c r="L61" s="10">
        <v>45665.45853009259</v>
      </c>
      <c r="M61" s="11">
        <f t="shared" si="0"/>
        <v>8.9004629553528503E-3</v>
      </c>
      <c r="N61" s="11">
        <f t="shared" si="1"/>
        <v>5.1064814811979886E-2</v>
      </c>
      <c r="O61" s="10">
        <v>45665.414849537039</v>
      </c>
      <c r="P61" s="11">
        <f t="shared" si="2"/>
        <v>1.4988425922638271E-2</v>
      </c>
      <c r="Q61" s="12" t="s">
        <v>379</v>
      </c>
    </row>
    <row r="62" spans="1:17" ht="25.5" x14ac:dyDescent="0.45">
      <c r="A62" s="3" t="s">
        <v>380</v>
      </c>
      <c r="B62" s="3" t="s">
        <v>160</v>
      </c>
      <c r="C62" s="9">
        <v>64</v>
      </c>
      <c r="D62" s="3" t="s">
        <v>283</v>
      </c>
      <c r="E62" s="10">
        <v>45665.398564814823</v>
      </c>
      <c r="F62" s="10">
        <v>45665.405949074076</v>
      </c>
      <c r="G62" s="10">
        <v>45665.407465277778</v>
      </c>
      <c r="H62" s="3" t="s">
        <v>378</v>
      </c>
      <c r="I62" s="10">
        <v>45665.429837962962</v>
      </c>
      <c r="J62" s="10">
        <v>45665.457615740743</v>
      </c>
      <c r="K62" s="10">
        <v>45665.457615740743</v>
      </c>
      <c r="L62" s="10">
        <v>45665.45853009259</v>
      </c>
      <c r="M62" s="11">
        <f t="shared" si="0"/>
        <v>8.9004629553528503E-3</v>
      </c>
      <c r="N62" s="11">
        <f t="shared" si="1"/>
        <v>5.1064814811979886E-2</v>
      </c>
      <c r="O62" s="10">
        <v>45665.420115740737</v>
      </c>
      <c r="P62" s="11">
        <f t="shared" si="2"/>
        <v>9.7222222248092294E-3</v>
      </c>
      <c r="Q62" s="12" t="s">
        <v>381</v>
      </c>
    </row>
    <row r="63" spans="1:17" ht="25.5" x14ac:dyDescent="0.45">
      <c r="A63" s="3" t="s">
        <v>382</v>
      </c>
      <c r="B63" s="3" t="s">
        <v>160</v>
      </c>
      <c r="C63" s="9">
        <v>32</v>
      </c>
      <c r="D63" s="3" t="s">
        <v>283</v>
      </c>
      <c r="E63" s="10">
        <v>45665.398564814823</v>
      </c>
      <c r="F63" s="10">
        <v>45665.405949074076</v>
      </c>
      <c r="G63" s="10">
        <v>45665.407465277778</v>
      </c>
      <c r="H63" s="3" t="s">
        <v>378</v>
      </c>
      <c r="I63" s="10">
        <v>45665.429837962962</v>
      </c>
      <c r="J63" s="10">
        <v>45665.457615740743</v>
      </c>
      <c r="K63" s="10">
        <v>45665.457615740743</v>
      </c>
      <c r="L63" s="10">
        <v>45665.45853009259</v>
      </c>
      <c r="M63" s="11">
        <f t="shared" si="0"/>
        <v>8.9004629553528503E-3</v>
      </c>
      <c r="N63" s="11">
        <f t="shared" si="1"/>
        <v>5.1064814811979886E-2</v>
      </c>
      <c r="O63" s="10">
        <v>45665.421481481477</v>
      </c>
      <c r="P63" s="11">
        <f t="shared" si="2"/>
        <v>8.3564814849523827E-3</v>
      </c>
      <c r="Q63" s="12" t="s">
        <v>383</v>
      </c>
    </row>
    <row r="64" spans="1:17" ht="25.5" x14ac:dyDescent="0.45">
      <c r="A64" s="3" t="s">
        <v>384</v>
      </c>
      <c r="B64" s="3" t="s">
        <v>161</v>
      </c>
      <c r="C64" s="9">
        <v>80</v>
      </c>
      <c r="D64" s="3" t="s">
        <v>231</v>
      </c>
      <c r="E64" s="10">
        <v>45665.404305555552</v>
      </c>
      <c r="F64" s="10">
        <v>45665.410243055558</v>
      </c>
      <c r="G64" s="10">
        <v>45665.411874999998</v>
      </c>
      <c r="H64" s="3" t="s">
        <v>385</v>
      </c>
      <c r="I64" s="10">
        <v>45665.44798611111</v>
      </c>
      <c r="J64" s="10">
        <v>45665.475763888891</v>
      </c>
      <c r="K64" s="10">
        <v>45665.475763888891</v>
      </c>
      <c r="L64" s="10">
        <v>45665.476678240739</v>
      </c>
      <c r="M64" s="11">
        <f t="shared" si="0"/>
        <v>7.5694444458349608E-3</v>
      </c>
      <c r="N64" s="11">
        <f t="shared" si="1"/>
        <v>6.4803240740729962E-2</v>
      </c>
      <c r="O64" s="10">
        <v>45665.429074074083</v>
      </c>
      <c r="P64" s="11">
        <f t="shared" si="2"/>
        <v>1.8912037026893813E-2</v>
      </c>
      <c r="Q64" s="12" t="s">
        <v>386</v>
      </c>
    </row>
    <row r="65" spans="1:17" ht="25.5" x14ac:dyDescent="0.45">
      <c r="A65" s="3" t="s">
        <v>387</v>
      </c>
      <c r="B65" s="3" t="s">
        <v>161</v>
      </c>
      <c r="C65" s="9">
        <v>32</v>
      </c>
      <c r="D65" s="3" t="s">
        <v>231</v>
      </c>
      <c r="E65" s="10">
        <v>45665.404305555552</v>
      </c>
      <c r="F65" s="10">
        <v>45665.410243055558</v>
      </c>
      <c r="G65" s="10">
        <v>45665.411874999998</v>
      </c>
      <c r="H65" s="3" t="s">
        <v>385</v>
      </c>
      <c r="I65" s="10">
        <v>45665.44798611111</v>
      </c>
      <c r="J65" s="10">
        <v>45665.475763888891</v>
      </c>
      <c r="K65" s="10">
        <v>45665.475763888891</v>
      </c>
      <c r="L65" s="10">
        <v>45665.476678240739</v>
      </c>
      <c r="M65" s="11">
        <f t="shared" si="0"/>
        <v>7.5694444458349608E-3</v>
      </c>
      <c r="N65" s="11">
        <f t="shared" si="1"/>
        <v>6.4803240740729962E-2</v>
      </c>
      <c r="O65" s="10">
        <v>45665.428101851852</v>
      </c>
      <c r="P65" s="11">
        <f t="shared" si="2"/>
        <v>1.9884259258105885E-2</v>
      </c>
      <c r="Q65" s="12" t="s">
        <v>388</v>
      </c>
    </row>
    <row r="66" spans="1:17" ht="25.5" x14ac:dyDescent="0.45">
      <c r="A66" s="3" t="s">
        <v>389</v>
      </c>
      <c r="B66" s="3" t="s">
        <v>161</v>
      </c>
      <c r="C66" s="9">
        <v>48</v>
      </c>
      <c r="D66" s="3" t="s">
        <v>231</v>
      </c>
      <c r="E66" s="10">
        <v>45665.404305555552</v>
      </c>
      <c r="F66" s="10">
        <v>45665.410243055558</v>
      </c>
      <c r="G66" s="10">
        <v>45665.411874999998</v>
      </c>
      <c r="H66" s="3" t="s">
        <v>385</v>
      </c>
      <c r="I66" s="10">
        <v>45665.44798611111</v>
      </c>
      <c r="J66" s="10">
        <v>45665.475763888891</v>
      </c>
      <c r="K66" s="10">
        <v>45665.475763888891</v>
      </c>
      <c r="L66" s="10">
        <v>45665.476678240739</v>
      </c>
      <c r="M66" s="11">
        <f t="shared" ref="M66:M129" si="3">IF(AND(ISNUMBER(E66),ISNUMBER(G66)),(G66-E66),"")</f>
        <v>7.5694444458349608E-3</v>
      </c>
      <c r="N66" s="11">
        <f t="shared" ref="N66:N129" si="4">IF(AND(ISNUMBER(G66),ISNUMBER(L66)),(L66-G66),"")</f>
        <v>6.4803240740729962E-2</v>
      </c>
      <c r="O66" s="10">
        <v>45665.433541666673</v>
      </c>
      <c r="P66" s="11">
        <f t="shared" ref="P66:P129" si="5">IF(AND(ISNUMBER(I66),ISNUMBER(O66)),(I66-O66),"")</f>
        <v>1.4444444437685888E-2</v>
      </c>
      <c r="Q66" s="12" t="s">
        <v>390</v>
      </c>
    </row>
    <row r="67" spans="1:17" ht="25.5" x14ac:dyDescent="0.45">
      <c r="A67" s="3" t="s">
        <v>391</v>
      </c>
      <c r="B67" s="3" t="s">
        <v>162</v>
      </c>
      <c r="C67" s="9">
        <v>48</v>
      </c>
      <c r="D67" s="3" t="s">
        <v>354</v>
      </c>
      <c r="E67" s="10">
        <v>45665.422326388893</v>
      </c>
      <c r="F67" s="10">
        <v>45665.429652777777</v>
      </c>
      <c r="G67" s="10">
        <v>45665.430891203701</v>
      </c>
      <c r="H67" s="3" t="s">
        <v>375</v>
      </c>
      <c r="I67" s="10">
        <v>45665.456053240741</v>
      </c>
      <c r="J67" s="10">
        <v>45665.492164351846</v>
      </c>
      <c r="K67" s="10">
        <v>45665.492164351846</v>
      </c>
      <c r="L67" s="10">
        <v>45665.493067129632</v>
      </c>
      <c r="M67" s="11">
        <f t="shared" si="3"/>
        <v>8.5648148087784648E-3</v>
      </c>
      <c r="N67" s="11">
        <f t="shared" si="4"/>
        <v>6.2175925930205267E-2</v>
      </c>
      <c r="O67" s="10">
        <v>45665.438321759262</v>
      </c>
      <c r="P67" s="11">
        <f t="shared" si="5"/>
        <v>1.7731481479131617E-2</v>
      </c>
      <c r="Q67" s="12" t="s">
        <v>392</v>
      </c>
    </row>
    <row r="68" spans="1:17" ht="25.5" x14ac:dyDescent="0.45">
      <c r="A68" s="3" t="s">
        <v>393</v>
      </c>
      <c r="B68" s="3" t="s">
        <v>162</v>
      </c>
      <c r="C68" s="9">
        <v>64</v>
      </c>
      <c r="D68" s="3" t="s">
        <v>354</v>
      </c>
      <c r="E68" s="10">
        <v>45665.422326388893</v>
      </c>
      <c r="F68" s="10">
        <v>45665.429652777777</v>
      </c>
      <c r="G68" s="10">
        <v>45665.430891203701</v>
      </c>
      <c r="H68" s="3" t="s">
        <v>375</v>
      </c>
      <c r="I68" s="10">
        <v>45665.456053240741</v>
      </c>
      <c r="J68" s="10">
        <v>45665.492164351846</v>
      </c>
      <c r="K68" s="10">
        <v>45665.492164351846</v>
      </c>
      <c r="L68" s="10">
        <v>45665.493067129632</v>
      </c>
      <c r="M68" s="11">
        <f t="shared" si="3"/>
        <v>8.5648148087784648E-3</v>
      </c>
      <c r="N68" s="11">
        <f t="shared" si="4"/>
        <v>6.2175925930205267E-2</v>
      </c>
      <c r="O68" s="10">
        <v>45665.444004629629</v>
      </c>
      <c r="P68" s="11">
        <f t="shared" si="5"/>
        <v>1.2048611111822538E-2</v>
      </c>
      <c r="Q68" s="12" t="s">
        <v>394</v>
      </c>
    </row>
    <row r="69" spans="1:17" ht="25.5" x14ac:dyDescent="0.45">
      <c r="A69" s="3" t="s">
        <v>395</v>
      </c>
      <c r="B69" s="3" t="s">
        <v>162</v>
      </c>
      <c r="C69" s="9">
        <v>64</v>
      </c>
      <c r="D69" s="3" t="s">
        <v>354</v>
      </c>
      <c r="E69" s="10">
        <v>45665.422326388893</v>
      </c>
      <c r="F69" s="10">
        <v>45665.429652777777</v>
      </c>
      <c r="G69" s="10">
        <v>45665.430891203701</v>
      </c>
      <c r="H69" s="3" t="s">
        <v>375</v>
      </c>
      <c r="I69" s="10">
        <v>45665.456053240741</v>
      </c>
      <c r="J69" s="10">
        <v>45665.492164351846</v>
      </c>
      <c r="K69" s="10">
        <v>45665.492164351846</v>
      </c>
      <c r="L69" s="10">
        <v>45665.493067129632</v>
      </c>
      <c r="M69" s="11">
        <f t="shared" si="3"/>
        <v>8.5648148087784648E-3</v>
      </c>
      <c r="N69" s="11">
        <f t="shared" si="4"/>
        <v>6.2175925930205267E-2</v>
      </c>
      <c r="O69" s="10">
        <v>45665.454467592594</v>
      </c>
      <c r="P69" s="11">
        <f t="shared" si="5"/>
        <v>1.5856481477385387E-3</v>
      </c>
      <c r="Q69" s="12" t="s">
        <v>396</v>
      </c>
    </row>
    <row r="70" spans="1:17" ht="25.5" x14ac:dyDescent="0.45">
      <c r="A70" s="3" t="s">
        <v>397</v>
      </c>
      <c r="B70" s="3" t="s">
        <v>162</v>
      </c>
      <c r="C70" s="9">
        <v>80</v>
      </c>
      <c r="D70" s="3" t="s">
        <v>263</v>
      </c>
      <c r="E70" s="10">
        <v>45665.422326388893</v>
      </c>
      <c r="F70" s="10">
        <v>45665.430891203701</v>
      </c>
      <c r="G70" s="10">
        <v>45665.432199074072</v>
      </c>
      <c r="H70" s="3" t="s">
        <v>398</v>
      </c>
      <c r="I70" s="10">
        <v>45665.61210648148</v>
      </c>
      <c r="J70" s="10">
        <v>45665.634328703702</v>
      </c>
      <c r="K70" s="10">
        <v>45665.634328703702</v>
      </c>
      <c r="L70" s="10">
        <v>45665.635138888887</v>
      </c>
      <c r="M70" s="11">
        <f t="shared" si="3"/>
        <v>9.8726851792889647E-3</v>
      </c>
      <c r="N70" s="11">
        <f t="shared" si="4"/>
        <v>0.20293981481518131</v>
      </c>
      <c r="O70" s="10">
        <v>45665.447280092587</v>
      </c>
      <c r="P70" s="11">
        <f t="shared" si="5"/>
        <v>0.16482638889283407</v>
      </c>
      <c r="Q70" s="12" t="s">
        <v>399</v>
      </c>
    </row>
    <row r="71" spans="1:17" ht="25.5" x14ac:dyDescent="0.45">
      <c r="A71" s="3" t="s">
        <v>400</v>
      </c>
      <c r="B71" s="3" t="s">
        <v>163</v>
      </c>
      <c r="C71" s="9">
        <v>48</v>
      </c>
      <c r="D71" s="3" t="s">
        <v>263</v>
      </c>
      <c r="E71" s="10">
        <v>45665.595706018517</v>
      </c>
      <c r="F71" s="10">
        <v>45665.601805555547</v>
      </c>
      <c r="G71" s="10">
        <v>45665.603032407409</v>
      </c>
      <c r="H71" s="3" t="s">
        <v>398</v>
      </c>
      <c r="I71" s="10">
        <v>45665.61210648148</v>
      </c>
      <c r="J71" s="10">
        <v>45665.634328703702</v>
      </c>
      <c r="K71" s="10">
        <v>45665.634328703702</v>
      </c>
      <c r="L71" s="10">
        <v>45665.635138888887</v>
      </c>
      <c r="M71" s="11">
        <f t="shared" si="3"/>
        <v>7.3263888916699216E-3</v>
      </c>
      <c r="N71" s="11">
        <f t="shared" si="4"/>
        <v>3.2106481477967463E-2</v>
      </c>
      <c r="O71" s="10">
        <v>45665.611238425918</v>
      </c>
      <c r="P71" s="11">
        <f t="shared" si="5"/>
        <v>8.6805556202307343E-4</v>
      </c>
      <c r="Q71" s="12" t="s">
        <v>401</v>
      </c>
    </row>
    <row r="72" spans="1:17" ht="25.5" x14ac:dyDescent="0.45">
      <c r="A72" s="3" t="s">
        <v>402</v>
      </c>
      <c r="B72" s="3" t="s">
        <v>163</v>
      </c>
      <c r="C72" s="9">
        <v>48</v>
      </c>
      <c r="D72" s="3" t="s">
        <v>255</v>
      </c>
      <c r="E72" s="10">
        <v>45665.595706018517</v>
      </c>
      <c r="F72" s="10">
        <v>45665.603032407409</v>
      </c>
      <c r="G72" s="10">
        <v>45665.604050925933</v>
      </c>
      <c r="H72" s="3" t="s">
        <v>358</v>
      </c>
      <c r="I72" s="10">
        <v>45665.615358796298</v>
      </c>
      <c r="J72" s="10">
        <v>45665.6403587963</v>
      </c>
      <c r="K72" s="10">
        <v>45665.6403587963</v>
      </c>
      <c r="L72" s="10">
        <v>45665.641168981478</v>
      </c>
      <c r="M72" s="11">
        <f t="shared" si="3"/>
        <v>8.344907415448688E-3</v>
      </c>
      <c r="N72" s="11">
        <f t="shared" si="4"/>
        <v>3.7118055544851813E-2</v>
      </c>
      <c r="O72" s="10">
        <v>45665.611504629633</v>
      </c>
      <c r="P72" s="11">
        <f t="shared" si="5"/>
        <v>3.8541666654055007E-3</v>
      </c>
      <c r="Q72" s="12" t="s">
        <v>403</v>
      </c>
    </row>
    <row r="73" spans="1:17" ht="25.5" x14ac:dyDescent="0.45">
      <c r="A73" s="3" t="s">
        <v>404</v>
      </c>
      <c r="B73" s="3" t="s">
        <v>163</v>
      </c>
      <c r="C73" s="9">
        <v>64</v>
      </c>
      <c r="D73" s="3" t="s">
        <v>255</v>
      </c>
      <c r="E73" s="10">
        <v>45665.595706018517</v>
      </c>
      <c r="F73" s="10">
        <v>45665.603032407409</v>
      </c>
      <c r="G73" s="10">
        <v>45665.604050925933</v>
      </c>
      <c r="H73" s="3" t="s">
        <v>358</v>
      </c>
      <c r="I73" s="10">
        <v>45665.615358796298</v>
      </c>
      <c r="J73" s="10">
        <v>45665.6403587963</v>
      </c>
      <c r="K73" s="10">
        <v>45665.6403587963</v>
      </c>
      <c r="L73" s="10">
        <v>45665.641168981478</v>
      </c>
      <c r="M73" s="11">
        <f t="shared" si="3"/>
        <v>8.344907415448688E-3</v>
      </c>
      <c r="N73" s="11">
        <f t="shared" si="4"/>
        <v>3.7118055544851813E-2</v>
      </c>
      <c r="O73" s="10">
        <v>45665.614490740743</v>
      </c>
      <c r="P73" s="11">
        <f t="shared" si="5"/>
        <v>8.6805555474711582E-4</v>
      </c>
      <c r="Q73" s="12" t="s">
        <v>405</v>
      </c>
    </row>
    <row r="74" spans="1:17" ht="25.5" x14ac:dyDescent="0.45">
      <c r="A74" s="3" t="s">
        <v>406</v>
      </c>
      <c r="B74" s="3" t="s">
        <v>164</v>
      </c>
      <c r="C74" s="9">
        <v>64</v>
      </c>
      <c r="D74" s="3" t="s">
        <v>231</v>
      </c>
      <c r="E74" s="10">
        <v>45665.751851851863</v>
      </c>
      <c r="F74" s="10">
        <v>45665.757013888891</v>
      </c>
      <c r="G74" s="10">
        <v>45665.758020833331</v>
      </c>
      <c r="H74" s="3" t="s">
        <v>407</v>
      </c>
      <c r="I74" s="10">
        <v>45665.767893518518</v>
      </c>
      <c r="J74" s="10">
        <v>45665.78733796296</v>
      </c>
      <c r="K74" s="10">
        <v>45665.78733796296</v>
      </c>
      <c r="L74" s="10">
        <v>45665.78806712963</v>
      </c>
      <c r="M74" s="11">
        <f t="shared" si="3"/>
        <v>6.1689814683631994E-3</v>
      </c>
      <c r="N74" s="11">
        <f t="shared" si="4"/>
        <v>3.0046296298678499E-2</v>
      </c>
      <c r="O74" s="10">
        <v>45665.765370370369</v>
      </c>
      <c r="P74" s="11">
        <f t="shared" si="5"/>
        <v>2.5231481486116536E-3</v>
      </c>
      <c r="Q74" s="12" t="s">
        <v>408</v>
      </c>
    </row>
    <row r="75" spans="1:17" ht="25.5" x14ac:dyDescent="0.45">
      <c r="A75" s="3" t="s">
        <v>409</v>
      </c>
      <c r="B75" s="3" t="s">
        <v>164</v>
      </c>
      <c r="C75" s="9">
        <v>48</v>
      </c>
      <c r="D75" s="3" t="s">
        <v>231</v>
      </c>
      <c r="E75" s="10">
        <v>45665.751851851863</v>
      </c>
      <c r="F75" s="10">
        <v>45665.757013888891</v>
      </c>
      <c r="G75" s="10">
        <v>45665.758020833331</v>
      </c>
      <c r="H75" s="3" t="s">
        <v>407</v>
      </c>
      <c r="I75" s="10">
        <v>45665.767893518518</v>
      </c>
      <c r="J75" s="10">
        <v>45665.78733796296</v>
      </c>
      <c r="K75" s="10">
        <v>45665.78733796296</v>
      </c>
      <c r="L75" s="10">
        <v>45665.78806712963</v>
      </c>
      <c r="M75" s="11">
        <f t="shared" si="3"/>
        <v>6.1689814683631994E-3</v>
      </c>
      <c r="N75" s="11">
        <f t="shared" si="4"/>
        <v>3.0046296298678499E-2</v>
      </c>
      <c r="O75" s="10">
        <v>45665.767060185193</v>
      </c>
      <c r="P75" s="11">
        <f t="shared" si="5"/>
        <v>8.3333332440815866E-4</v>
      </c>
      <c r="Q75" s="12" t="s">
        <v>410</v>
      </c>
    </row>
    <row r="76" spans="1:17" ht="38.25" x14ac:dyDescent="0.45">
      <c r="A76" s="3" t="s">
        <v>411</v>
      </c>
      <c r="B76" s="3" t="s">
        <v>165</v>
      </c>
      <c r="C76" s="9">
        <v>48</v>
      </c>
      <c r="D76" s="3" t="s">
        <v>354</v>
      </c>
      <c r="E76" s="10">
        <v>45665.898020833331</v>
      </c>
      <c r="F76" s="10">
        <v>45665.905578703707</v>
      </c>
      <c r="G76" s="10">
        <v>45665.906921296293</v>
      </c>
      <c r="H76" s="3" t="s">
        <v>412</v>
      </c>
      <c r="I76" s="10">
        <v>45665.920763888891</v>
      </c>
      <c r="J76" s="10">
        <v>45665.965208333328</v>
      </c>
      <c r="K76" s="10">
        <v>45665.965208333328</v>
      </c>
      <c r="L76" s="10">
        <v>45665.966261574067</v>
      </c>
      <c r="M76" s="11">
        <f t="shared" si="3"/>
        <v>8.9004629626288079E-3</v>
      </c>
      <c r="N76" s="11">
        <f t="shared" si="4"/>
        <v>5.9340277774026617E-2</v>
      </c>
      <c r="O76" s="10">
        <v>45665.912638888891</v>
      </c>
      <c r="P76" s="11">
        <f t="shared" si="5"/>
        <v>8.1250000002910383E-3</v>
      </c>
      <c r="Q76" s="12" t="s">
        <v>413</v>
      </c>
    </row>
    <row r="77" spans="1:17" ht="38.25" x14ac:dyDescent="0.45">
      <c r="A77" s="3" t="s">
        <v>414</v>
      </c>
      <c r="B77" s="3" t="s">
        <v>165</v>
      </c>
      <c r="C77" s="9">
        <v>32</v>
      </c>
      <c r="D77" s="3" t="s">
        <v>354</v>
      </c>
      <c r="E77" s="10">
        <v>45665.898020833331</v>
      </c>
      <c r="F77" s="10">
        <v>45665.905578703707</v>
      </c>
      <c r="G77" s="10">
        <v>45665.906921296293</v>
      </c>
      <c r="H77" s="3" t="s">
        <v>412</v>
      </c>
      <c r="I77" s="10">
        <v>45665.920763888891</v>
      </c>
      <c r="J77" s="10">
        <v>45665.965208333328</v>
      </c>
      <c r="K77" s="10">
        <v>45665.965208333328</v>
      </c>
      <c r="L77" s="10">
        <v>45665.966261574067</v>
      </c>
      <c r="M77" s="11">
        <f t="shared" si="3"/>
        <v>8.9004629626288079E-3</v>
      </c>
      <c r="N77" s="11">
        <f t="shared" si="4"/>
        <v>5.9340277774026617E-2</v>
      </c>
      <c r="O77" s="10">
        <v>45665.912962962961</v>
      </c>
      <c r="P77" s="11">
        <f t="shared" si="5"/>
        <v>7.8009259304963052E-3</v>
      </c>
      <c r="Q77" s="12" t="s">
        <v>415</v>
      </c>
    </row>
    <row r="78" spans="1:17" ht="25.5" x14ac:dyDescent="0.45">
      <c r="A78" s="3" t="s">
        <v>416</v>
      </c>
      <c r="B78" s="3" t="s">
        <v>165</v>
      </c>
      <c r="C78" s="9">
        <v>64</v>
      </c>
      <c r="D78" s="3" t="s">
        <v>354</v>
      </c>
      <c r="E78" s="10">
        <v>45665.898020833331</v>
      </c>
      <c r="F78" s="10">
        <v>45665.905578703707</v>
      </c>
      <c r="G78" s="10">
        <v>45665.906921296293</v>
      </c>
      <c r="H78" s="3" t="s">
        <v>412</v>
      </c>
      <c r="I78" s="10">
        <v>45665.920763888891</v>
      </c>
      <c r="J78" s="10">
        <v>45665.965208333328</v>
      </c>
      <c r="K78" s="10">
        <v>45665.965208333328</v>
      </c>
      <c r="L78" s="10">
        <v>45665.966261574067</v>
      </c>
      <c r="M78" s="11">
        <f t="shared" si="3"/>
        <v>8.9004629626288079E-3</v>
      </c>
      <c r="N78" s="11">
        <f t="shared" si="4"/>
        <v>5.9340277774026617E-2</v>
      </c>
      <c r="O78" s="10">
        <v>45665.919166666667</v>
      </c>
      <c r="P78" s="11">
        <f t="shared" si="5"/>
        <v>1.5972222245181911E-3</v>
      </c>
      <c r="Q78" s="12" t="s">
        <v>417</v>
      </c>
    </row>
    <row r="79" spans="1:17" ht="25.5" x14ac:dyDescent="0.45">
      <c r="A79" s="3" t="s">
        <v>418</v>
      </c>
      <c r="B79" s="3" t="s">
        <v>165</v>
      </c>
      <c r="C79" s="9">
        <v>48</v>
      </c>
      <c r="D79" s="3" t="s">
        <v>354</v>
      </c>
      <c r="E79" s="10">
        <v>45665.898020833331</v>
      </c>
      <c r="F79" s="10">
        <v>45665.905578703707</v>
      </c>
      <c r="G79" s="10">
        <v>45665.906921296293</v>
      </c>
      <c r="H79" s="3" t="s">
        <v>412</v>
      </c>
      <c r="I79" s="10">
        <v>45665.920763888891</v>
      </c>
      <c r="J79" s="10">
        <v>45665.965208333328</v>
      </c>
      <c r="K79" s="10">
        <v>45665.965208333328</v>
      </c>
      <c r="L79" s="10">
        <v>45665.966261574067</v>
      </c>
      <c r="M79" s="11">
        <f t="shared" si="3"/>
        <v>8.9004629626288079E-3</v>
      </c>
      <c r="N79" s="11">
        <f t="shared" si="4"/>
        <v>5.9340277774026617E-2</v>
      </c>
      <c r="O79" s="10">
        <v>45665.917569444442</v>
      </c>
      <c r="P79" s="11">
        <f t="shared" si="5"/>
        <v>3.1944444490363821E-3</v>
      </c>
      <c r="Q79" s="12" t="s">
        <v>419</v>
      </c>
    </row>
    <row r="80" spans="1:17" ht="25.5" x14ac:dyDescent="0.45">
      <c r="A80" s="3" t="s">
        <v>420</v>
      </c>
      <c r="B80" s="3" t="s">
        <v>165</v>
      </c>
      <c r="C80" s="9">
        <v>64</v>
      </c>
      <c r="D80" s="3" t="s">
        <v>354</v>
      </c>
      <c r="E80" s="10">
        <v>45665.898020833331</v>
      </c>
      <c r="F80" s="10">
        <v>45665.905578703707</v>
      </c>
      <c r="G80" s="10">
        <v>45665.906921296293</v>
      </c>
      <c r="H80" s="3" t="s">
        <v>412</v>
      </c>
      <c r="I80" s="10">
        <v>45665.920763888891</v>
      </c>
      <c r="J80" s="10">
        <v>45665.965208333328</v>
      </c>
      <c r="K80" s="10">
        <v>45665.965208333328</v>
      </c>
      <c r="L80" s="10">
        <v>45665.966261574067</v>
      </c>
      <c r="M80" s="11">
        <f t="shared" si="3"/>
        <v>8.9004629626288079E-3</v>
      </c>
      <c r="N80" s="11">
        <f t="shared" si="4"/>
        <v>5.9340277774026617E-2</v>
      </c>
      <c r="O80" s="10">
        <v>45665.919918981483</v>
      </c>
      <c r="P80" s="11">
        <f t="shared" si="5"/>
        <v>8.4490740846376866E-4</v>
      </c>
      <c r="Q80" s="12" t="s">
        <v>421</v>
      </c>
    </row>
    <row r="81" spans="1:17" ht="25.5" x14ac:dyDescent="0.45">
      <c r="A81" s="3" t="s">
        <v>422</v>
      </c>
      <c r="B81" s="3" t="s">
        <v>166</v>
      </c>
      <c r="C81" s="9">
        <v>48</v>
      </c>
      <c r="D81" s="3" t="s">
        <v>263</v>
      </c>
      <c r="E81" s="10">
        <v>45666.210219907407</v>
      </c>
      <c r="F81" s="10">
        <v>45666.215590277781</v>
      </c>
      <c r="G81" s="10">
        <v>45666.216562499998</v>
      </c>
      <c r="H81" s="3" t="s">
        <v>423</v>
      </c>
      <c r="I81" s="10">
        <v>45666.27175925926</v>
      </c>
      <c r="J81" s="10">
        <v>45666.296759259261</v>
      </c>
      <c r="K81" s="10">
        <v>45666.296759259261</v>
      </c>
      <c r="L81" s="10">
        <v>45666.29755787037</v>
      </c>
      <c r="M81" s="11">
        <f t="shared" si="3"/>
        <v>6.3425925909541547E-3</v>
      </c>
      <c r="N81" s="11">
        <f t="shared" si="4"/>
        <v>8.0995370371965691E-2</v>
      </c>
      <c r="O81" s="10">
        <v>45666.222303240742</v>
      </c>
      <c r="P81" s="11">
        <f t="shared" si="5"/>
        <v>4.9456018517958E-2</v>
      </c>
      <c r="Q81" s="12" t="s">
        <v>424</v>
      </c>
    </row>
    <row r="82" spans="1:17" ht="25.5" x14ac:dyDescent="0.45">
      <c r="A82" s="3" t="s">
        <v>425</v>
      </c>
      <c r="B82" s="3" t="s">
        <v>166</v>
      </c>
      <c r="C82" s="9">
        <v>48</v>
      </c>
      <c r="D82" s="3" t="s">
        <v>263</v>
      </c>
      <c r="E82" s="10">
        <v>45666.210219907407</v>
      </c>
      <c r="F82" s="10">
        <v>45666.215590277781</v>
      </c>
      <c r="G82" s="10">
        <v>45666.216562499998</v>
      </c>
      <c r="H82" s="3" t="s">
        <v>423</v>
      </c>
      <c r="I82" s="10">
        <v>45666.27175925926</v>
      </c>
      <c r="J82" s="10">
        <v>45666.296759259261</v>
      </c>
      <c r="K82" s="10">
        <v>45666.296759259261</v>
      </c>
      <c r="L82" s="10">
        <v>45666.29755787037</v>
      </c>
      <c r="M82" s="11">
        <f t="shared" si="3"/>
        <v>6.3425925909541547E-3</v>
      </c>
      <c r="N82" s="11">
        <f t="shared" si="4"/>
        <v>8.0995370371965691E-2</v>
      </c>
      <c r="O82" s="10">
        <v>45666.224849537037</v>
      </c>
      <c r="P82" s="11">
        <f t="shared" si="5"/>
        <v>4.6909722223063E-2</v>
      </c>
      <c r="Q82" s="12" t="s">
        <v>426</v>
      </c>
    </row>
    <row r="83" spans="1:17" ht="38.25" x14ac:dyDescent="0.45">
      <c r="A83" s="3" t="s">
        <v>427</v>
      </c>
      <c r="B83" s="3" t="s">
        <v>166</v>
      </c>
      <c r="C83" s="9">
        <v>32</v>
      </c>
      <c r="D83" s="3" t="s">
        <v>247</v>
      </c>
      <c r="E83" s="10">
        <v>45666.210219907407</v>
      </c>
      <c r="F83" s="10">
        <v>45666.216562499998</v>
      </c>
      <c r="G83" s="10">
        <v>45666.217465277783</v>
      </c>
      <c r="H83" s="3" t="s">
        <v>428</v>
      </c>
      <c r="I83" s="10">
        <v>45666.282106481478</v>
      </c>
      <c r="J83" s="10">
        <v>45666.323773148149</v>
      </c>
      <c r="K83" s="10">
        <v>45666.323773148149</v>
      </c>
      <c r="L83" s="10">
        <v>45666.32476851852</v>
      </c>
      <c r="M83" s="11">
        <f t="shared" si="3"/>
        <v>7.2453703760402277E-3</v>
      </c>
      <c r="N83" s="11">
        <f t="shared" si="4"/>
        <v>0.10730324073665543</v>
      </c>
      <c r="O83" s="10">
        <v>45666.221215277779</v>
      </c>
      <c r="P83" s="11">
        <f t="shared" si="5"/>
        <v>6.0891203698702157E-2</v>
      </c>
      <c r="Q83" s="12" t="s">
        <v>429</v>
      </c>
    </row>
    <row r="84" spans="1:17" ht="25.5" x14ac:dyDescent="0.45">
      <c r="A84" s="3" t="s">
        <v>430</v>
      </c>
      <c r="B84" s="3" t="s">
        <v>167</v>
      </c>
      <c r="C84" s="9">
        <v>48</v>
      </c>
      <c r="D84" s="3" t="s">
        <v>283</v>
      </c>
      <c r="E84" s="10">
        <v>45666.216145833343</v>
      </c>
      <c r="F84" s="10">
        <v>45666.22216435185</v>
      </c>
      <c r="G84" s="10">
        <v>45666.223877314813</v>
      </c>
      <c r="H84" s="3" t="s">
        <v>431</v>
      </c>
      <c r="I84" s="10">
        <v>45666.23946759259</v>
      </c>
      <c r="J84" s="10">
        <v>45666.27002314815</v>
      </c>
      <c r="K84" s="10">
        <v>45666.27002314815</v>
      </c>
      <c r="L84" s="10">
        <v>45666.270925925928</v>
      </c>
      <c r="M84" s="11">
        <f t="shared" si="3"/>
        <v>7.7314814698183909E-3</v>
      </c>
      <c r="N84" s="11">
        <f t="shared" si="4"/>
        <v>4.7048611115314998E-2</v>
      </c>
      <c r="O84" s="10">
        <v>45666.229108796288</v>
      </c>
      <c r="P84" s="11">
        <f t="shared" si="5"/>
        <v>1.0358796302170958E-2</v>
      </c>
      <c r="Q84" s="12" t="s">
        <v>432</v>
      </c>
    </row>
    <row r="85" spans="1:17" ht="25.5" x14ac:dyDescent="0.45">
      <c r="A85" s="3" t="s">
        <v>433</v>
      </c>
      <c r="B85" s="3" t="s">
        <v>167</v>
      </c>
      <c r="C85" s="9">
        <v>48</v>
      </c>
      <c r="D85" s="3" t="s">
        <v>283</v>
      </c>
      <c r="E85" s="10">
        <v>45666.216145833343</v>
      </c>
      <c r="F85" s="10">
        <v>45666.22216435185</v>
      </c>
      <c r="G85" s="10">
        <v>45666.223877314813</v>
      </c>
      <c r="H85" s="3" t="s">
        <v>431</v>
      </c>
      <c r="I85" s="10">
        <v>45666.23946759259</v>
      </c>
      <c r="J85" s="10">
        <v>45666.27002314815</v>
      </c>
      <c r="K85" s="10">
        <v>45666.27002314815</v>
      </c>
      <c r="L85" s="10">
        <v>45666.270925925928</v>
      </c>
      <c r="M85" s="11">
        <f t="shared" si="3"/>
        <v>7.7314814698183909E-3</v>
      </c>
      <c r="N85" s="11">
        <f t="shared" si="4"/>
        <v>4.7048611115314998E-2</v>
      </c>
      <c r="O85" s="10">
        <v>45666.232870370368</v>
      </c>
      <c r="P85" s="11">
        <f t="shared" si="5"/>
        <v>6.5972222218988463E-3</v>
      </c>
      <c r="Q85" s="12" t="s">
        <v>434</v>
      </c>
    </row>
    <row r="86" spans="1:17" ht="25.5" x14ac:dyDescent="0.45">
      <c r="A86" s="3" t="s">
        <v>435</v>
      </c>
      <c r="B86" s="3" t="s">
        <v>167</v>
      </c>
      <c r="C86" s="9">
        <v>80</v>
      </c>
      <c r="D86" s="3" t="s">
        <v>283</v>
      </c>
      <c r="E86" s="10">
        <v>45666.216145833343</v>
      </c>
      <c r="F86" s="10">
        <v>45666.22216435185</v>
      </c>
      <c r="G86" s="10">
        <v>45666.223877314813</v>
      </c>
      <c r="H86" s="3" t="s">
        <v>431</v>
      </c>
      <c r="I86" s="10">
        <v>45666.23946759259</v>
      </c>
      <c r="J86" s="10">
        <v>45666.27002314815</v>
      </c>
      <c r="K86" s="10">
        <v>45666.27002314815</v>
      </c>
      <c r="L86" s="10">
        <v>45666.270925925928</v>
      </c>
      <c r="M86" s="11">
        <f t="shared" si="3"/>
        <v>7.7314814698183909E-3</v>
      </c>
      <c r="N86" s="11">
        <f t="shared" si="4"/>
        <v>4.7048611115314998E-2</v>
      </c>
      <c r="O86" s="10">
        <v>45666.238599537042</v>
      </c>
      <c r="P86" s="11">
        <f t="shared" si="5"/>
        <v>8.6805554747115821E-4</v>
      </c>
      <c r="Q86" s="12" t="s">
        <v>436</v>
      </c>
    </row>
    <row r="87" spans="1:17" ht="25.5" x14ac:dyDescent="0.45">
      <c r="A87" s="3" t="s">
        <v>437</v>
      </c>
      <c r="B87" s="3" t="s">
        <v>168</v>
      </c>
      <c r="C87" s="9">
        <v>48</v>
      </c>
      <c r="D87" s="3" t="s">
        <v>263</v>
      </c>
      <c r="E87" s="10">
        <v>45666.223530092589</v>
      </c>
      <c r="F87" s="10">
        <v>45666.234907407408</v>
      </c>
      <c r="G87" s="10">
        <v>45666.235775462963</v>
      </c>
      <c r="H87" s="3" t="s">
        <v>423</v>
      </c>
      <c r="I87" s="10">
        <v>45666.27175925926</v>
      </c>
      <c r="J87" s="10">
        <v>45666.296759259261</v>
      </c>
      <c r="K87" s="10">
        <v>45666.296759259261</v>
      </c>
      <c r="L87" s="10">
        <v>45666.29755787037</v>
      </c>
      <c r="M87" s="11">
        <f t="shared" si="3"/>
        <v>1.2245370373420883E-2</v>
      </c>
      <c r="N87" s="11">
        <f t="shared" si="4"/>
        <v>6.1782407407008577E-2</v>
      </c>
      <c r="O87" s="10">
        <v>45666.243206018517</v>
      </c>
      <c r="P87" s="11">
        <f t="shared" si="5"/>
        <v>2.8553240743349306E-2</v>
      </c>
      <c r="Q87" s="12" t="s">
        <v>438</v>
      </c>
    </row>
    <row r="88" spans="1:17" ht="38.25" x14ac:dyDescent="0.45">
      <c r="A88" s="3" t="s">
        <v>439</v>
      </c>
      <c r="B88" s="3" t="s">
        <v>168</v>
      </c>
      <c r="C88" s="9">
        <v>48</v>
      </c>
      <c r="D88" s="3" t="s">
        <v>231</v>
      </c>
      <c r="E88" s="10">
        <v>45666.223530092589</v>
      </c>
      <c r="F88" s="10">
        <v>45666.235775462963</v>
      </c>
      <c r="G88" s="10">
        <v>45666.237013888887</v>
      </c>
      <c r="H88" s="3" t="s">
        <v>440</v>
      </c>
      <c r="I88" s="10">
        <v>45666.277777777781</v>
      </c>
      <c r="J88" s="10">
        <v>45666.316666666673</v>
      </c>
      <c r="K88" s="10">
        <v>45666.316666666673</v>
      </c>
      <c r="L88" s="10">
        <v>45666.317777777767</v>
      </c>
      <c r="M88" s="11">
        <f t="shared" si="3"/>
        <v>1.3483796297805384E-2</v>
      </c>
      <c r="N88" s="11">
        <f t="shared" si="4"/>
        <v>8.0763888880028389E-2</v>
      </c>
      <c r="O88" s="10">
        <v>45666.242766203701</v>
      </c>
      <c r="P88" s="11">
        <f t="shared" si="5"/>
        <v>3.5011574080272112E-2</v>
      </c>
      <c r="Q88" s="12" t="s">
        <v>441</v>
      </c>
    </row>
    <row r="89" spans="1:17" ht="25.5" x14ac:dyDescent="0.45">
      <c r="A89" s="3" t="s">
        <v>442</v>
      </c>
      <c r="B89" s="3" t="s">
        <v>168</v>
      </c>
      <c r="C89" s="9">
        <v>48</v>
      </c>
      <c r="D89" s="3" t="s">
        <v>350</v>
      </c>
      <c r="E89" s="10">
        <v>45666.223530092589</v>
      </c>
      <c r="F89" s="10">
        <v>45666.237013888887</v>
      </c>
      <c r="G89" s="10">
        <v>45666.238368055558</v>
      </c>
      <c r="H89" s="3" t="s">
        <v>351</v>
      </c>
      <c r="I89" s="10">
        <v>45667.338460648149</v>
      </c>
      <c r="J89" s="10">
        <v>45667.360682870371</v>
      </c>
      <c r="K89" s="10">
        <v>45667.360682870371</v>
      </c>
      <c r="L89" s="10">
        <v>45667.361377314817</v>
      </c>
      <c r="M89" s="11">
        <f t="shared" si="3"/>
        <v>1.4837962968158536E-2</v>
      </c>
      <c r="N89" s="11">
        <f t="shared" si="4"/>
        <v>1.1230092592595611</v>
      </c>
      <c r="O89" s="10">
        <v>45666.246550925927</v>
      </c>
      <c r="P89" s="11">
        <f t="shared" si="5"/>
        <v>1.0919097222213168</v>
      </c>
      <c r="Q89" s="12" t="s">
        <v>443</v>
      </c>
    </row>
    <row r="90" spans="1:17" ht="38.25" x14ac:dyDescent="0.45">
      <c r="A90" s="3" t="s">
        <v>444</v>
      </c>
      <c r="B90" s="3" t="s">
        <v>168</v>
      </c>
      <c r="C90" s="9">
        <v>32</v>
      </c>
      <c r="D90" s="3" t="s">
        <v>231</v>
      </c>
      <c r="E90" s="10">
        <v>45666.223530092589</v>
      </c>
      <c r="F90" s="10">
        <v>45666.238368055558</v>
      </c>
      <c r="G90" s="10">
        <v>45666.239571759259</v>
      </c>
      <c r="H90" s="3" t="s">
        <v>440</v>
      </c>
      <c r="I90" s="10">
        <v>45666.277777777781</v>
      </c>
      <c r="J90" s="10">
        <v>45666.316666666673</v>
      </c>
      <c r="K90" s="10">
        <v>45666.316666666673</v>
      </c>
      <c r="L90" s="10">
        <v>45666.317777777767</v>
      </c>
      <c r="M90" s="11">
        <f t="shared" si="3"/>
        <v>1.6041666669480037E-2</v>
      </c>
      <c r="N90" s="11">
        <f t="shared" si="4"/>
        <v>7.8206018508353736E-2</v>
      </c>
      <c r="O90" s="10">
        <v>45666.245300925933</v>
      </c>
      <c r="P90" s="11">
        <f t="shared" si="5"/>
        <v>3.2476851847604848E-2</v>
      </c>
      <c r="Q90" s="12" t="s">
        <v>445</v>
      </c>
    </row>
    <row r="91" spans="1:17" ht="38.25" x14ac:dyDescent="0.45">
      <c r="A91" s="3" t="s">
        <v>446</v>
      </c>
      <c r="B91" s="3" t="s">
        <v>169</v>
      </c>
      <c r="C91" s="9">
        <v>48</v>
      </c>
      <c r="D91" s="3" t="s">
        <v>247</v>
      </c>
      <c r="E91" s="10">
        <v>45666.229409722233</v>
      </c>
      <c r="F91" s="10">
        <v>45666.240439814806</v>
      </c>
      <c r="G91" s="10">
        <v>45666.241724537038</v>
      </c>
      <c r="H91" s="3" t="s">
        <v>428</v>
      </c>
      <c r="I91" s="10">
        <v>45666.282106481478</v>
      </c>
      <c r="J91" s="10">
        <v>45666.323773148149</v>
      </c>
      <c r="K91" s="10">
        <v>45666.323773148149</v>
      </c>
      <c r="L91" s="10">
        <v>45666.32476851852</v>
      </c>
      <c r="M91" s="11">
        <f t="shared" si="3"/>
        <v>1.2314814804994967E-2</v>
      </c>
      <c r="N91" s="11">
        <f t="shared" si="4"/>
        <v>8.3043981481750961E-2</v>
      </c>
      <c r="O91" s="10">
        <v>45666.251840277779</v>
      </c>
      <c r="P91" s="11">
        <f t="shared" si="5"/>
        <v>3.0266203699284233E-2</v>
      </c>
      <c r="Q91" s="12" t="s">
        <v>447</v>
      </c>
    </row>
    <row r="92" spans="1:17" ht="25.5" x14ac:dyDescent="0.45">
      <c r="A92" s="3" t="s">
        <v>448</v>
      </c>
      <c r="B92" s="3" t="s">
        <v>169</v>
      </c>
      <c r="C92" s="9">
        <v>64</v>
      </c>
      <c r="D92" s="3" t="s">
        <v>247</v>
      </c>
      <c r="E92" s="10">
        <v>45666.229409722233</v>
      </c>
      <c r="F92" s="10">
        <v>45666.240439814806</v>
      </c>
      <c r="G92" s="10">
        <v>45666.241724537038</v>
      </c>
      <c r="H92" s="3" t="s">
        <v>428</v>
      </c>
      <c r="I92" s="10">
        <v>45666.282106481478</v>
      </c>
      <c r="J92" s="10">
        <v>45666.323773148149</v>
      </c>
      <c r="K92" s="10">
        <v>45666.323773148149</v>
      </c>
      <c r="L92" s="10">
        <v>45666.32476851852</v>
      </c>
      <c r="M92" s="11">
        <f t="shared" si="3"/>
        <v>1.2314814804994967E-2</v>
      </c>
      <c r="N92" s="11">
        <f t="shared" si="4"/>
        <v>8.3043981481750961E-2</v>
      </c>
      <c r="O92" s="10">
        <v>45666.256747685176</v>
      </c>
      <c r="P92" s="11">
        <f t="shared" si="5"/>
        <v>2.5358796301588882E-2</v>
      </c>
      <c r="Q92" s="12" t="s">
        <v>449</v>
      </c>
    </row>
    <row r="93" spans="1:17" ht="25.5" x14ac:dyDescent="0.45">
      <c r="A93" s="3" t="s">
        <v>450</v>
      </c>
      <c r="B93" s="3" t="s">
        <v>169</v>
      </c>
      <c r="C93" s="9">
        <v>32</v>
      </c>
      <c r="D93" s="3" t="s">
        <v>247</v>
      </c>
      <c r="E93" s="10">
        <v>45666.229409722233</v>
      </c>
      <c r="F93" s="10">
        <v>45666.240439814806</v>
      </c>
      <c r="G93" s="10">
        <v>45666.241724537038</v>
      </c>
      <c r="H93" s="3" t="s">
        <v>428</v>
      </c>
      <c r="I93" s="10">
        <v>45666.282106481478</v>
      </c>
      <c r="J93" s="10">
        <v>45666.323773148149</v>
      </c>
      <c r="K93" s="10">
        <v>45666.323773148149</v>
      </c>
      <c r="L93" s="10">
        <v>45666.32476851852</v>
      </c>
      <c r="M93" s="11">
        <f t="shared" si="3"/>
        <v>1.2314814804994967E-2</v>
      </c>
      <c r="N93" s="11">
        <f t="shared" si="4"/>
        <v>8.3043981481750961E-2</v>
      </c>
      <c r="O93" s="10">
        <v>45666.258460648147</v>
      </c>
      <c r="P93" s="11">
        <f t="shared" si="5"/>
        <v>2.364583333110204E-2</v>
      </c>
      <c r="Q93" s="12" t="s">
        <v>451</v>
      </c>
    </row>
    <row r="94" spans="1:17" ht="25.5" x14ac:dyDescent="0.45">
      <c r="A94" s="3" t="s">
        <v>452</v>
      </c>
      <c r="B94" s="3" t="s">
        <v>169</v>
      </c>
      <c r="C94" s="9">
        <v>64</v>
      </c>
      <c r="D94" s="3" t="s">
        <v>247</v>
      </c>
      <c r="E94" s="10">
        <v>45666.229409722233</v>
      </c>
      <c r="F94" s="10">
        <v>45666.240439814806</v>
      </c>
      <c r="G94" s="10">
        <v>45666.241724537038</v>
      </c>
      <c r="H94" s="3" t="s">
        <v>428</v>
      </c>
      <c r="I94" s="10">
        <v>45666.282106481478</v>
      </c>
      <c r="J94" s="10">
        <v>45666.323773148149</v>
      </c>
      <c r="K94" s="10">
        <v>45666.323773148149</v>
      </c>
      <c r="L94" s="10">
        <v>45666.32476851852</v>
      </c>
      <c r="M94" s="11">
        <f t="shared" si="3"/>
        <v>1.2314814804994967E-2</v>
      </c>
      <c r="N94" s="11">
        <f t="shared" si="4"/>
        <v>8.3043981481750961E-2</v>
      </c>
      <c r="O94" s="10">
        <v>45666.269976851851</v>
      </c>
      <c r="P94" s="11">
        <f t="shared" si="5"/>
        <v>1.2129629627452232E-2</v>
      </c>
      <c r="Q94" s="12" t="s">
        <v>453</v>
      </c>
    </row>
    <row r="95" spans="1:17" ht="25.5" x14ac:dyDescent="0.45">
      <c r="A95" s="3" t="s">
        <v>454</v>
      </c>
      <c r="B95" s="3" t="s">
        <v>170</v>
      </c>
      <c r="C95" s="9">
        <v>48</v>
      </c>
      <c r="D95" s="3" t="s">
        <v>231</v>
      </c>
      <c r="E95" s="10">
        <v>45666.232569444437</v>
      </c>
      <c r="F95" s="10">
        <v>45666.242592592593</v>
      </c>
      <c r="G95" s="10">
        <v>45666.243958333333</v>
      </c>
      <c r="H95" s="3" t="s">
        <v>440</v>
      </c>
      <c r="I95" s="10">
        <v>45666.277777777781</v>
      </c>
      <c r="J95" s="10">
        <v>45666.316666666673</v>
      </c>
      <c r="K95" s="10">
        <v>45666.316666666673</v>
      </c>
      <c r="L95" s="10">
        <v>45666.317777777767</v>
      </c>
      <c r="M95" s="11">
        <f t="shared" si="3"/>
        <v>1.138888889545342E-2</v>
      </c>
      <c r="N95" s="11">
        <f t="shared" si="4"/>
        <v>7.3819444434775505E-2</v>
      </c>
      <c r="O95" s="10">
        <v>45666.251423611109</v>
      </c>
      <c r="P95" s="11">
        <f t="shared" si="5"/>
        <v>2.6354166671808343E-2</v>
      </c>
      <c r="Q95" s="12" t="s">
        <v>455</v>
      </c>
    </row>
    <row r="96" spans="1:17" ht="25.5" x14ac:dyDescent="0.45">
      <c r="A96" s="3" t="s">
        <v>456</v>
      </c>
      <c r="B96" s="3" t="s">
        <v>170</v>
      </c>
      <c r="C96" s="9">
        <v>48</v>
      </c>
      <c r="D96" s="3" t="s">
        <v>231</v>
      </c>
      <c r="E96" s="10">
        <v>45666.232569444437</v>
      </c>
      <c r="F96" s="10">
        <v>45666.242592592593</v>
      </c>
      <c r="G96" s="10">
        <v>45666.243958333333</v>
      </c>
      <c r="H96" s="3" t="s">
        <v>440</v>
      </c>
      <c r="I96" s="10">
        <v>45666.277777777781</v>
      </c>
      <c r="J96" s="10">
        <v>45666.316666666673</v>
      </c>
      <c r="K96" s="10">
        <v>45666.316666666673</v>
      </c>
      <c r="L96" s="10">
        <v>45666.317777777767</v>
      </c>
      <c r="M96" s="11">
        <f t="shared" si="3"/>
        <v>1.138888889545342E-2</v>
      </c>
      <c r="N96" s="11">
        <f t="shared" si="4"/>
        <v>7.3819444434775505E-2</v>
      </c>
      <c r="O96" s="10">
        <v>45666.255578703713</v>
      </c>
      <c r="P96" s="11">
        <f t="shared" si="5"/>
        <v>2.2199074068339542E-2</v>
      </c>
      <c r="Q96" s="12" t="s">
        <v>457</v>
      </c>
    </row>
    <row r="97" spans="1:17" ht="25.5" x14ac:dyDescent="0.45">
      <c r="A97" s="3" t="s">
        <v>458</v>
      </c>
      <c r="B97" s="3" t="s">
        <v>170</v>
      </c>
      <c r="C97" s="9">
        <v>48</v>
      </c>
      <c r="D97" s="3" t="s">
        <v>231</v>
      </c>
      <c r="E97" s="10">
        <v>45666.232569444437</v>
      </c>
      <c r="F97" s="10">
        <v>45666.242592592593</v>
      </c>
      <c r="G97" s="10">
        <v>45666.243958333333</v>
      </c>
      <c r="H97" s="3" t="s">
        <v>440</v>
      </c>
      <c r="I97" s="10">
        <v>45666.277777777781</v>
      </c>
      <c r="J97" s="10">
        <v>45666.316666666673</v>
      </c>
      <c r="K97" s="10">
        <v>45666.316666666673</v>
      </c>
      <c r="L97" s="10">
        <v>45666.317777777767</v>
      </c>
      <c r="M97" s="11">
        <f t="shared" si="3"/>
        <v>1.138888889545342E-2</v>
      </c>
      <c r="N97" s="11">
        <f t="shared" si="4"/>
        <v>7.3819444434775505E-2</v>
      </c>
      <c r="O97" s="10">
        <v>45666.264606481483</v>
      </c>
      <c r="P97" s="11">
        <f t="shared" si="5"/>
        <v>1.3171296297514345E-2</v>
      </c>
      <c r="Q97" s="12" t="s">
        <v>459</v>
      </c>
    </row>
    <row r="98" spans="1:17" ht="38.25" x14ac:dyDescent="0.45">
      <c r="A98" s="3" t="s">
        <v>460</v>
      </c>
      <c r="B98" s="3" t="s">
        <v>172</v>
      </c>
      <c r="C98" s="9">
        <v>32</v>
      </c>
      <c r="D98" s="3" t="s">
        <v>231</v>
      </c>
      <c r="E98" s="10">
        <v>45666.235844907409</v>
      </c>
      <c r="F98" s="10">
        <v>45666.244826388887</v>
      </c>
      <c r="G98" s="10">
        <v>45666.246157407397</v>
      </c>
      <c r="H98" s="3" t="s">
        <v>461</v>
      </c>
      <c r="I98" s="10">
        <v>45666.577708333331</v>
      </c>
      <c r="J98" s="10">
        <v>45666.602708333332</v>
      </c>
      <c r="K98" s="10">
        <v>45666.603321759263</v>
      </c>
      <c r="L98" s="10">
        <v>45666.604201388887</v>
      </c>
      <c r="M98" s="11">
        <f t="shared" si="3"/>
        <v>1.0312499987776391E-2</v>
      </c>
      <c r="N98" s="11">
        <f t="shared" si="4"/>
        <v>0.35804398149048211</v>
      </c>
      <c r="O98" s="10">
        <v>45666.255925925929</v>
      </c>
      <c r="P98" s="11">
        <f t="shared" si="5"/>
        <v>0.32178240740176989</v>
      </c>
      <c r="Q98" s="12" t="s">
        <v>462</v>
      </c>
    </row>
    <row r="99" spans="1:17" ht="25.5" x14ac:dyDescent="0.45">
      <c r="A99" s="3" t="s">
        <v>463</v>
      </c>
      <c r="B99" s="3" t="s">
        <v>172</v>
      </c>
      <c r="C99" s="9">
        <v>32</v>
      </c>
      <c r="D99" s="3" t="s">
        <v>231</v>
      </c>
      <c r="E99" s="10">
        <v>45666.235844907409</v>
      </c>
      <c r="F99" s="10">
        <v>45666.244826388887</v>
      </c>
      <c r="G99" s="10">
        <v>45666.246157407397</v>
      </c>
      <c r="H99" s="3" t="s">
        <v>461</v>
      </c>
      <c r="I99" s="10">
        <v>45666.577708333331</v>
      </c>
      <c r="J99" s="10">
        <v>45666.602708333332</v>
      </c>
      <c r="K99" s="10">
        <v>45666.603321759263</v>
      </c>
      <c r="L99" s="10">
        <v>45666.604201388887</v>
      </c>
      <c r="M99" s="11">
        <f t="shared" si="3"/>
        <v>1.0312499987776391E-2</v>
      </c>
      <c r="N99" s="11">
        <f t="shared" si="4"/>
        <v>0.35804398149048211</v>
      </c>
      <c r="O99" s="10">
        <v>45666.263310185182</v>
      </c>
      <c r="P99" s="11">
        <f t="shared" si="5"/>
        <v>0.31439814814802958</v>
      </c>
      <c r="Q99" s="12" t="s">
        <v>464</v>
      </c>
    </row>
    <row r="100" spans="1:17" ht="25.5" x14ac:dyDescent="0.45">
      <c r="A100" s="3" t="s">
        <v>465</v>
      </c>
      <c r="B100" s="3" t="s">
        <v>172</v>
      </c>
      <c r="C100" s="9">
        <v>32</v>
      </c>
      <c r="D100" s="3" t="s">
        <v>231</v>
      </c>
      <c r="E100" s="10">
        <v>45666.235844907409</v>
      </c>
      <c r="F100" s="10">
        <v>45666.244826388887</v>
      </c>
      <c r="G100" s="10">
        <v>45666.246157407397</v>
      </c>
      <c r="H100" s="3" t="s">
        <v>461</v>
      </c>
      <c r="I100" s="10">
        <v>45666.577708333331</v>
      </c>
      <c r="J100" s="10">
        <v>45666.602708333332</v>
      </c>
      <c r="K100" s="10">
        <v>45666.603321759263</v>
      </c>
      <c r="L100" s="10">
        <v>45666.604201388887</v>
      </c>
      <c r="M100" s="11">
        <f t="shared" si="3"/>
        <v>1.0312499987776391E-2</v>
      </c>
      <c r="N100" s="11">
        <f t="shared" si="4"/>
        <v>0.35804398149048211</v>
      </c>
      <c r="O100" s="10">
        <v>45666.275370370371</v>
      </c>
      <c r="P100" s="11">
        <f t="shared" si="5"/>
        <v>0.30233796295942739</v>
      </c>
      <c r="Q100" s="12" t="s">
        <v>466</v>
      </c>
    </row>
    <row r="101" spans="1:17" ht="25.5" x14ac:dyDescent="0.45">
      <c r="A101" s="3" t="s">
        <v>467</v>
      </c>
      <c r="B101" s="3" t="s">
        <v>174</v>
      </c>
      <c r="C101" s="9">
        <v>32</v>
      </c>
      <c r="D101" s="3" t="s">
        <v>283</v>
      </c>
      <c r="E101" s="10">
        <v>45666.241539351853</v>
      </c>
      <c r="F101" s="10">
        <v>45666.247800925928</v>
      </c>
      <c r="G101" s="10">
        <v>45666.24931712963</v>
      </c>
      <c r="H101" s="3" t="s">
        <v>468</v>
      </c>
      <c r="I101" s="10">
        <v>45666.318356481483</v>
      </c>
      <c r="J101" s="10">
        <v>45666.346134259264</v>
      </c>
      <c r="K101" s="10">
        <v>45666.346134259264</v>
      </c>
      <c r="L101" s="10">
        <v>45666.347048611111</v>
      </c>
      <c r="M101" s="11">
        <f t="shared" si="3"/>
        <v>7.7777777769370005E-3</v>
      </c>
      <c r="N101" s="11">
        <f t="shared" si="4"/>
        <v>9.7731481480877846E-2</v>
      </c>
      <c r="O101" s="10">
        <v>45666.260428240741</v>
      </c>
      <c r="P101" s="11">
        <f t="shared" si="5"/>
        <v>5.7928240741603076E-2</v>
      </c>
      <c r="Q101" s="12" t="s">
        <v>469</v>
      </c>
    </row>
    <row r="102" spans="1:17" ht="25.5" x14ac:dyDescent="0.45">
      <c r="A102" s="3" t="s">
        <v>470</v>
      </c>
      <c r="B102" s="3" t="s">
        <v>174</v>
      </c>
      <c r="C102" s="9">
        <v>64</v>
      </c>
      <c r="D102" s="3" t="s">
        <v>283</v>
      </c>
      <c r="E102" s="10">
        <v>45666.241539351853</v>
      </c>
      <c r="F102" s="10">
        <v>45666.247800925928</v>
      </c>
      <c r="G102" s="10">
        <v>45666.24931712963</v>
      </c>
      <c r="H102" s="3" t="s">
        <v>468</v>
      </c>
      <c r="I102" s="10">
        <v>45666.318356481483</v>
      </c>
      <c r="J102" s="10">
        <v>45666.346134259264</v>
      </c>
      <c r="K102" s="10">
        <v>45666.346134259264</v>
      </c>
      <c r="L102" s="10">
        <v>45666.347048611111</v>
      </c>
      <c r="M102" s="11">
        <f t="shared" si="3"/>
        <v>7.7777777769370005E-3</v>
      </c>
      <c r="N102" s="11">
        <f t="shared" si="4"/>
        <v>9.7731481480877846E-2</v>
      </c>
      <c r="O102" s="10">
        <v>45666.276076388887</v>
      </c>
      <c r="P102" s="11">
        <f t="shared" si="5"/>
        <v>4.2280092595319729E-2</v>
      </c>
      <c r="Q102" s="12" t="s">
        <v>471</v>
      </c>
    </row>
    <row r="103" spans="1:17" ht="25.5" x14ac:dyDescent="0.45">
      <c r="A103" s="3" t="s">
        <v>472</v>
      </c>
      <c r="B103" s="3" t="s">
        <v>174</v>
      </c>
      <c r="C103" s="9">
        <v>64</v>
      </c>
      <c r="D103" s="3" t="s">
        <v>283</v>
      </c>
      <c r="E103" s="10">
        <v>45666.241539351853</v>
      </c>
      <c r="F103" s="10">
        <v>45666.247800925928</v>
      </c>
      <c r="G103" s="10">
        <v>45666.24931712963</v>
      </c>
      <c r="H103" s="3" t="s">
        <v>468</v>
      </c>
      <c r="I103" s="10">
        <v>45666.318356481483</v>
      </c>
      <c r="J103" s="10">
        <v>45666.346134259264</v>
      </c>
      <c r="K103" s="10">
        <v>45666.346134259264</v>
      </c>
      <c r="L103" s="10">
        <v>45666.347048611111</v>
      </c>
      <c r="M103" s="11">
        <f t="shared" si="3"/>
        <v>7.7777777769370005E-3</v>
      </c>
      <c r="N103" s="11">
        <f t="shared" si="4"/>
        <v>9.7731481480877846E-2</v>
      </c>
      <c r="O103" s="10">
        <v>45666.280486111107</v>
      </c>
      <c r="P103" s="11">
        <f t="shared" si="5"/>
        <v>3.7870370375458151E-2</v>
      </c>
      <c r="Q103" s="12" t="s">
        <v>473</v>
      </c>
    </row>
    <row r="104" spans="1:17" ht="25.5" x14ac:dyDescent="0.45">
      <c r="A104" s="3" t="s">
        <v>474</v>
      </c>
      <c r="B104" s="3" t="s">
        <v>175</v>
      </c>
      <c r="C104" s="9">
        <v>80</v>
      </c>
      <c r="D104" s="3" t="s">
        <v>283</v>
      </c>
      <c r="E104" s="10">
        <v>45666.246006944442</v>
      </c>
      <c r="F104" s="10">
        <v>45666.254710648151</v>
      </c>
      <c r="G104" s="10">
        <v>45666.255925925929</v>
      </c>
      <c r="H104" s="3" t="s">
        <v>475</v>
      </c>
      <c r="I104" s="10">
        <v>45666.298495370371</v>
      </c>
      <c r="J104" s="10">
        <v>45666.320717592593</v>
      </c>
      <c r="K104" s="10">
        <v>45666.320717592593</v>
      </c>
      <c r="L104" s="10">
        <v>45666.321608796286</v>
      </c>
      <c r="M104" s="11">
        <f t="shared" si="3"/>
        <v>9.9189814864075743E-3</v>
      </c>
      <c r="N104" s="11">
        <f t="shared" si="4"/>
        <v>6.5682870357704815E-2</v>
      </c>
      <c r="O104" s="10">
        <v>45666.269386574073</v>
      </c>
      <c r="P104" s="11">
        <f t="shared" si="5"/>
        <v>2.9108796297805384E-2</v>
      </c>
      <c r="Q104" s="12" t="s">
        <v>476</v>
      </c>
    </row>
    <row r="105" spans="1:17" ht="25.5" x14ac:dyDescent="0.45">
      <c r="A105" s="3" t="s">
        <v>477</v>
      </c>
      <c r="B105" s="3" t="s">
        <v>175</v>
      </c>
      <c r="C105" s="9">
        <v>48</v>
      </c>
      <c r="D105" s="3" t="s">
        <v>255</v>
      </c>
      <c r="E105" s="10">
        <v>45666.246006944442</v>
      </c>
      <c r="F105" s="10">
        <v>45666.255925925929</v>
      </c>
      <c r="G105" s="10">
        <v>45666.257152777784</v>
      </c>
      <c r="H105" s="3" t="s">
        <v>478</v>
      </c>
      <c r="I105" s="10">
        <v>45667.704270833332</v>
      </c>
      <c r="J105" s="10">
        <v>45667.732048611113</v>
      </c>
      <c r="K105" s="10">
        <v>45667.732048611113</v>
      </c>
      <c r="L105" s="10">
        <v>45667.732928240737</v>
      </c>
      <c r="M105" s="11">
        <f t="shared" si="3"/>
        <v>1.114583334128838E-2</v>
      </c>
      <c r="N105" s="11">
        <f t="shared" si="4"/>
        <v>1.4757754629536066</v>
      </c>
      <c r="O105" s="10">
        <v>45666.269872685189</v>
      </c>
      <c r="P105" s="11">
        <f t="shared" si="5"/>
        <v>1.434398148143373</v>
      </c>
      <c r="Q105" s="12" t="s">
        <v>479</v>
      </c>
    </row>
    <row r="106" spans="1:17" ht="25.5" x14ac:dyDescent="0.45">
      <c r="A106" s="3" t="s">
        <v>480</v>
      </c>
      <c r="B106" s="3" t="s">
        <v>175</v>
      </c>
      <c r="C106" s="9">
        <v>48</v>
      </c>
      <c r="D106" s="3" t="s">
        <v>283</v>
      </c>
      <c r="E106" s="10">
        <v>45666.246006944442</v>
      </c>
      <c r="F106" s="10">
        <v>45666.257152777784</v>
      </c>
      <c r="G106" s="10">
        <v>45666.258287037039</v>
      </c>
      <c r="H106" s="3" t="s">
        <v>475</v>
      </c>
      <c r="I106" s="10">
        <v>45666.298495370371</v>
      </c>
      <c r="J106" s="10">
        <v>45666.320717592593</v>
      </c>
      <c r="K106" s="10">
        <v>45666.320717592593</v>
      </c>
      <c r="L106" s="10">
        <v>45666.321608796286</v>
      </c>
      <c r="M106" s="11">
        <f t="shared" si="3"/>
        <v>1.2280092596483883E-2</v>
      </c>
      <c r="N106" s="11">
        <f t="shared" si="4"/>
        <v>6.3321759247628506E-2</v>
      </c>
      <c r="O106" s="10">
        <v>45666.278877314813</v>
      </c>
      <c r="P106" s="11">
        <f t="shared" si="5"/>
        <v>1.9618055557657499E-2</v>
      </c>
      <c r="Q106" s="12" t="s">
        <v>481</v>
      </c>
    </row>
    <row r="107" spans="1:17" x14ac:dyDescent="0.45">
      <c r="A107" s="3" t="s">
        <v>482</v>
      </c>
      <c r="B107" s="3" t="s">
        <v>176</v>
      </c>
      <c r="C107" s="9">
        <v>64</v>
      </c>
      <c r="D107" s="3" t="s">
        <v>354</v>
      </c>
      <c r="E107" s="10">
        <v>45666.460335648153</v>
      </c>
      <c r="F107" s="10">
        <v>45666.466423611113</v>
      </c>
      <c r="G107" s="10">
        <v>45666.468043981477</v>
      </c>
      <c r="H107" s="3" t="s">
        <v>483</v>
      </c>
      <c r="I107" s="10">
        <v>45666.477060185192</v>
      </c>
      <c r="J107" s="10">
        <v>45666.499282407407</v>
      </c>
      <c r="K107" s="10">
        <v>45666.499282407407</v>
      </c>
      <c r="L107" s="10">
        <v>45666.500081018523</v>
      </c>
      <c r="M107" s="11">
        <f t="shared" si="3"/>
        <v>7.7083333235350437E-3</v>
      </c>
      <c r="N107" s="11">
        <f t="shared" si="4"/>
        <v>3.203703704639338E-2</v>
      </c>
      <c r="O107" s="10">
        <v>45666.475416666668</v>
      </c>
      <c r="P107" s="11">
        <f t="shared" si="5"/>
        <v>1.643518524360843E-3</v>
      </c>
      <c r="Q107" s="12" t="s">
        <v>484</v>
      </c>
    </row>
    <row r="108" spans="1:17" ht="25.5" x14ac:dyDescent="0.45">
      <c r="A108" s="3" t="s">
        <v>485</v>
      </c>
      <c r="B108" s="3" t="s">
        <v>176</v>
      </c>
      <c r="C108" s="9">
        <v>32</v>
      </c>
      <c r="D108" s="3" t="s">
        <v>354</v>
      </c>
      <c r="E108" s="10">
        <v>45666.460335648153</v>
      </c>
      <c r="F108" s="10">
        <v>45666.466423611113</v>
      </c>
      <c r="G108" s="10">
        <v>45666.468043981477</v>
      </c>
      <c r="H108" s="3" t="s">
        <v>483</v>
      </c>
      <c r="I108" s="10">
        <v>45666.477060185192</v>
      </c>
      <c r="J108" s="10">
        <v>45666.499282407407</v>
      </c>
      <c r="K108" s="10">
        <v>45666.499282407407</v>
      </c>
      <c r="L108" s="10">
        <v>45666.500081018523</v>
      </c>
      <c r="M108" s="11">
        <f t="shared" si="3"/>
        <v>7.7083333235350437E-3</v>
      </c>
      <c r="N108" s="11">
        <f t="shared" si="4"/>
        <v>3.203703704639338E-2</v>
      </c>
      <c r="O108" s="10">
        <v>45666.474108796298</v>
      </c>
      <c r="P108" s="11">
        <f t="shared" si="5"/>
        <v>2.9513888948713429E-3</v>
      </c>
      <c r="Q108" s="12" t="s">
        <v>486</v>
      </c>
    </row>
    <row r="109" spans="1:17" ht="25.5" x14ac:dyDescent="0.45">
      <c r="A109" s="3" t="s">
        <v>487</v>
      </c>
      <c r="B109" s="3" t="s">
        <v>176</v>
      </c>
      <c r="C109" s="9">
        <v>32</v>
      </c>
      <c r="D109" s="3" t="s">
        <v>354</v>
      </c>
      <c r="E109" s="10">
        <v>45666.460335648153</v>
      </c>
      <c r="F109" s="10">
        <v>45666.466423611113</v>
      </c>
      <c r="G109" s="10">
        <v>45666.468043981477</v>
      </c>
      <c r="H109" s="3" t="s">
        <v>483</v>
      </c>
      <c r="I109" s="10">
        <v>45666.477060185192</v>
      </c>
      <c r="J109" s="10">
        <v>45666.499282407407</v>
      </c>
      <c r="K109" s="10">
        <v>45666.499282407407</v>
      </c>
      <c r="L109" s="10">
        <v>45666.500081018523</v>
      </c>
      <c r="M109" s="11">
        <f t="shared" si="3"/>
        <v>7.7083333235350437E-3</v>
      </c>
      <c r="N109" s="11">
        <f t="shared" si="4"/>
        <v>3.203703704639338E-2</v>
      </c>
      <c r="O109" s="10">
        <v>45666.475393518522</v>
      </c>
      <c r="P109" s="11">
        <f t="shared" si="5"/>
        <v>1.6666666706441902E-3</v>
      </c>
      <c r="Q109" s="12" t="s">
        <v>488</v>
      </c>
    </row>
    <row r="110" spans="1:17" ht="38.25" x14ac:dyDescent="0.45">
      <c r="A110" s="3" t="s">
        <v>489</v>
      </c>
      <c r="B110" s="3" t="s">
        <v>176</v>
      </c>
      <c r="C110" s="9">
        <v>48</v>
      </c>
      <c r="D110" s="3" t="s">
        <v>263</v>
      </c>
      <c r="E110" s="10">
        <v>45666.460335648153</v>
      </c>
      <c r="F110" s="10">
        <v>45666.468043981477</v>
      </c>
      <c r="G110" s="10">
        <v>45666.468912037039</v>
      </c>
      <c r="H110" s="3" t="s">
        <v>490</v>
      </c>
      <c r="I110" s="10">
        <v>45666.485405092593</v>
      </c>
      <c r="J110" s="10">
        <v>45666.521516203713</v>
      </c>
      <c r="K110" s="10">
        <v>45666.521516203713</v>
      </c>
      <c r="L110" s="10">
        <v>45666.522465277783</v>
      </c>
      <c r="M110" s="11">
        <f t="shared" si="3"/>
        <v>8.5763888855581172E-3</v>
      </c>
      <c r="N110" s="11">
        <f t="shared" si="4"/>
        <v>5.3553240744804498E-2</v>
      </c>
      <c r="O110" s="10">
        <v>45666.474664351852</v>
      </c>
      <c r="P110" s="11">
        <f t="shared" si="5"/>
        <v>1.0740740741312038E-2</v>
      </c>
      <c r="Q110" s="12" t="s">
        <v>491</v>
      </c>
    </row>
    <row r="111" spans="1:17" ht="25.5" x14ac:dyDescent="0.45">
      <c r="A111" s="3" t="s">
        <v>492</v>
      </c>
      <c r="B111" s="3" t="s">
        <v>177</v>
      </c>
      <c r="C111" s="9">
        <v>48</v>
      </c>
      <c r="D111" s="3" t="s">
        <v>263</v>
      </c>
      <c r="E111" s="10">
        <v>45666.459930555553</v>
      </c>
      <c r="F111" s="10">
        <v>45666.469780092593</v>
      </c>
      <c r="G111" s="10">
        <v>45666.470613425918</v>
      </c>
      <c r="H111" s="3" t="s">
        <v>490</v>
      </c>
      <c r="I111" s="10">
        <v>45666.485405092593</v>
      </c>
      <c r="J111" s="10">
        <v>45666.521516203713</v>
      </c>
      <c r="K111" s="10">
        <v>45666.521516203713</v>
      </c>
      <c r="L111" s="10">
        <v>45666.522465277783</v>
      </c>
      <c r="M111" s="11">
        <f t="shared" si="3"/>
        <v>1.0682870364689734E-2</v>
      </c>
      <c r="N111" s="11">
        <f t="shared" si="4"/>
        <v>5.1851851865649223E-2</v>
      </c>
      <c r="O111" s="10">
        <v>45666.478819444441</v>
      </c>
      <c r="P111" s="11">
        <f t="shared" si="5"/>
        <v>6.5856481523951516E-3</v>
      </c>
      <c r="Q111" s="12" t="s">
        <v>493</v>
      </c>
    </row>
    <row r="112" spans="1:17" ht="25.5" x14ac:dyDescent="0.45">
      <c r="A112" s="3" t="s">
        <v>494</v>
      </c>
      <c r="B112" s="3" t="s">
        <v>177</v>
      </c>
      <c r="C112" s="9">
        <v>32</v>
      </c>
      <c r="D112" s="3" t="s">
        <v>247</v>
      </c>
      <c r="E112" s="10">
        <v>45666.459930555553</v>
      </c>
      <c r="F112" s="10">
        <v>45666.470613425918</v>
      </c>
      <c r="G112" s="10">
        <v>45666.471504629633</v>
      </c>
      <c r="H112" s="3" t="s">
        <v>495</v>
      </c>
      <c r="I112" s="10">
        <v>45666.604444444441</v>
      </c>
      <c r="J112" s="10">
        <v>45666.623888888891</v>
      </c>
      <c r="K112" s="10">
        <v>45666.623888888891</v>
      </c>
      <c r="L112" s="10">
        <v>45666.624583333331</v>
      </c>
      <c r="M112" s="11">
        <f t="shared" si="3"/>
        <v>1.1574074080272112E-2</v>
      </c>
      <c r="N112" s="11">
        <f t="shared" si="4"/>
        <v>0.15307870369724697</v>
      </c>
      <c r="O112" s="10">
        <v>45666.475254629629</v>
      </c>
      <c r="P112" s="11">
        <f t="shared" si="5"/>
        <v>0.12918981481197989</v>
      </c>
      <c r="Q112" s="12" t="s">
        <v>496</v>
      </c>
    </row>
    <row r="113" spans="1:17" ht="25.5" x14ac:dyDescent="0.45">
      <c r="A113" s="3" t="s">
        <v>497</v>
      </c>
      <c r="B113" s="3" t="s">
        <v>177</v>
      </c>
      <c r="C113" s="9">
        <v>64</v>
      </c>
      <c r="D113" s="3" t="s">
        <v>263</v>
      </c>
      <c r="E113" s="10">
        <v>45666.459930555553</v>
      </c>
      <c r="F113" s="10">
        <v>45666.471504629633</v>
      </c>
      <c r="G113" s="10">
        <v>45666.472488425927</v>
      </c>
      <c r="H113" s="3" t="s">
        <v>490</v>
      </c>
      <c r="I113" s="10">
        <v>45666.485405092593</v>
      </c>
      <c r="J113" s="10">
        <v>45666.521516203713</v>
      </c>
      <c r="K113" s="10">
        <v>45666.521516203713</v>
      </c>
      <c r="L113" s="10">
        <v>45666.522465277783</v>
      </c>
      <c r="M113" s="11">
        <f t="shared" si="3"/>
        <v>1.2557870373711921E-2</v>
      </c>
      <c r="N113" s="11">
        <f t="shared" si="4"/>
        <v>4.9976851856627036E-2</v>
      </c>
      <c r="O113" s="10">
        <v>45666.484537037039</v>
      </c>
      <c r="P113" s="11">
        <f t="shared" si="5"/>
        <v>8.6805555474711582E-4</v>
      </c>
      <c r="Q113" s="12" t="s">
        <v>498</v>
      </c>
    </row>
    <row r="114" spans="1:17" ht="25.5" x14ac:dyDescent="0.45">
      <c r="A114" s="3" t="s">
        <v>499</v>
      </c>
      <c r="B114" s="3" t="s">
        <v>177</v>
      </c>
      <c r="C114" s="9">
        <v>48</v>
      </c>
      <c r="D114" s="3" t="s">
        <v>263</v>
      </c>
      <c r="E114" s="10">
        <v>45666.459930555553</v>
      </c>
      <c r="F114" s="10">
        <v>45666.471504629633</v>
      </c>
      <c r="G114" s="10">
        <v>45666.472488425927</v>
      </c>
      <c r="H114" s="3" t="s">
        <v>490</v>
      </c>
      <c r="I114" s="10">
        <v>45666.485405092593</v>
      </c>
      <c r="J114" s="10">
        <v>45666.521516203713</v>
      </c>
      <c r="K114" s="10">
        <v>45666.521516203713</v>
      </c>
      <c r="L114" s="10">
        <v>45666.522465277783</v>
      </c>
      <c r="M114" s="11">
        <f t="shared" si="3"/>
        <v>1.2557870373711921E-2</v>
      </c>
      <c r="N114" s="11">
        <f t="shared" si="4"/>
        <v>4.9976851856627036E-2</v>
      </c>
      <c r="O114" s="10">
        <v>45666.483854166669</v>
      </c>
      <c r="P114" s="11">
        <f t="shared" si="5"/>
        <v>1.5509259246755391E-3</v>
      </c>
      <c r="Q114" s="12" t="s">
        <v>500</v>
      </c>
    </row>
    <row r="115" spans="1:17" ht="38.25" x14ac:dyDescent="0.45">
      <c r="A115" s="3" t="s">
        <v>501</v>
      </c>
      <c r="B115" s="3" t="s">
        <v>178</v>
      </c>
      <c r="C115" s="9">
        <v>32</v>
      </c>
      <c r="D115" s="3" t="s">
        <v>283</v>
      </c>
      <c r="E115" s="10">
        <v>45666.543923611112</v>
      </c>
      <c r="F115" s="10">
        <v>45666.551319444443</v>
      </c>
      <c r="G115" s="10">
        <v>45666.552245370367</v>
      </c>
      <c r="H115" s="3" t="s">
        <v>502</v>
      </c>
      <c r="I115" s="10">
        <v>45666.572187500002</v>
      </c>
      <c r="J115" s="10">
        <v>45666.602743055562</v>
      </c>
      <c r="K115" s="10">
        <v>45666.604201388887</v>
      </c>
      <c r="L115" s="10">
        <v>45666.605081018519</v>
      </c>
      <c r="M115" s="11">
        <f t="shared" si="3"/>
        <v>8.3217592546134256E-3</v>
      </c>
      <c r="N115" s="11">
        <f t="shared" si="4"/>
        <v>5.2835648151813075E-2</v>
      </c>
      <c r="O115" s="10">
        <v>45666.556377314817</v>
      </c>
      <c r="P115" s="11">
        <f t="shared" si="5"/>
        <v>1.5810185184818693E-2</v>
      </c>
      <c r="Q115" s="12" t="s">
        <v>503</v>
      </c>
    </row>
    <row r="116" spans="1:17" ht="25.5" x14ac:dyDescent="0.45">
      <c r="A116" s="3" t="s">
        <v>504</v>
      </c>
      <c r="B116" s="3" t="s">
        <v>178</v>
      </c>
      <c r="C116" s="9">
        <v>48</v>
      </c>
      <c r="D116" s="3" t="s">
        <v>283</v>
      </c>
      <c r="E116" s="10">
        <v>45666.543923611112</v>
      </c>
      <c r="F116" s="10">
        <v>45666.551319444443</v>
      </c>
      <c r="G116" s="10">
        <v>45666.552245370367</v>
      </c>
      <c r="H116" s="3" t="s">
        <v>502</v>
      </c>
      <c r="I116" s="10">
        <v>45666.572187500002</v>
      </c>
      <c r="J116" s="10">
        <v>45666.602743055562</v>
      </c>
      <c r="K116" s="10">
        <v>45666.604201388887</v>
      </c>
      <c r="L116" s="10">
        <v>45666.605081018519</v>
      </c>
      <c r="M116" s="11">
        <f t="shared" si="3"/>
        <v>8.3217592546134256E-3</v>
      </c>
      <c r="N116" s="11">
        <f t="shared" si="4"/>
        <v>5.2835648151813075E-2</v>
      </c>
      <c r="O116" s="10">
        <v>45666.561296296299</v>
      </c>
      <c r="P116" s="11">
        <f t="shared" si="5"/>
        <v>1.0891203703067731E-2</v>
      </c>
      <c r="Q116" s="12" t="s">
        <v>505</v>
      </c>
    </row>
    <row r="117" spans="1:17" ht="25.5" x14ac:dyDescent="0.45">
      <c r="A117" s="3" t="s">
        <v>506</v>
      </c>
      <c r="B117" s="3" t="s">
        <v>178</v>
      </c>
      <c r="C117" s="9">
        <v>80</v>
      </c>
      <c r="D117" s="3" t="s">
        <v>354</v>
      </c>
      <c r="E117" s="10">
        <v>45666.543923611112</v>
      </c>
      <c r="F117" s="10">
        <v>45666.552245370367</v>
      </c>
      <c r="G117" s="10">
        <v>45666.554062499999</v>
      </c>
      <c r="H117" s="3" t="s">
        <v>507</v>
      </c>
      <c r="I117" s="10">
        <v>45666.56622685185</v>
      </c>
      <c r="J117" s="10">
        <v>45666.602337962962</v>
      </c>
      <c r="K117" s="10">
        <v>45666.602337962962</v>
      </c>
      <c r="L117" s="10">
        <v>45666.603321759263</v>
      </c>
      <c r="M117" s="11">
        <f t="shared" si="3"/>
        <v>1.0138888887013309E-2</v>
      </c>
      <c r="N117" s="11">
        <f t="shared" si="4"/>
        <v>4.9259259263635613E-2</v>
      </c>
      <c r="O117" s="10">
        <v>45666.563043981478</v>
      </c>
      <c r="P117" s="11">
        <f t="shared" si="5"/>
        <v>3.1828703722567298E-3</v>
      </c>
      <c r="Q117" s="12" t="s">
        <v>508</v>
      </c>
    </row>
    <row r="118" spans="1:17" ht="25.5" x14ac:dyDescent="0.45">
      <c r="A118" s="3" t="s">
        <v>509</v>
      </c>
      <c r="B118" s="3" t="s">
        <v>178</v>
      </c>
      <c r="C118" s="9">
        <v>64</v>
      </c>
      <c r="D118" s="3" t="s">
        <v>354</v>
      </c>
      <c r="E118" s="10">
        <v>45666.543923611112</v>
      </c>
      <c r="F118" s="10">
        <v>45666.552245370367</v>
      </c>
      <c r="G118" s="10">
        <v>45666.554062499999</v>
      </c>
      <c r="H118" s="3" t="s">
        <v>507</v>
      </c>
      <c r="I118" s="10">
        <v>45666.56622685185</v>
      </c>
      <c r="J118" s="10">
        <v>45666.602337962962</v>
      </c>
      <c r="K118" s="10">
        <v>45666.602337962962</v>
      </c>
      <c r="L118" s="10">
        <v>45666.603321759263</v>
      </c>
      <c r="M118" s="11">
        <f t="shared" si="3"/>
        <v>1.0138888887013309E-2</v>
      </c>
      <c r="N118" s="11">
        <f t="shared" si="4"/>
        <v>4.9259259263635613E-2</v>
      </c>
      <c r="O118" s="10">
        <v>45666.564571759263</v>
      </c>
      <c r="P118" s="11">
        <f t="shared" si="5"/>
        <v>1.6550925865885802E-3</v>
      </c>
      <c r="Q118" s="12" t="s">
        <v>510</v>
      </c>
    </row>
    <row r="119" spans="1:17" ht="25.5" x14ac:dyDescent="0.45">
      <c r="A119" s="3" t="s">
        <v>511</v>
      </c>
      <c r="B119" s="3" t="s">
        <v>178</v>
      </c>
      <c r="C119" s="9">
        <v>64</v>
      </c>
      <c r="D119" s="3" t="s">
        <v>354</v>
      </c>
      <c r="E119" s="10">
        <v>45666.543923611112</v>
      </c>
      <c r="F119" s="10">
        <v>45666.552245370367</v>
      </c>
      <c r="G119" s="10">
        <v>45666.554062499999</v>
      </c>
      <c r="H119" s="3" t="s">
        <v>507</v>
      </c>
      <c r="I119" s="10">
        <v>45666.56622685185</v>
      </c>
      <c r="J119" s="10">
        <v>45666.602337962962</v>
      </c>
      <c r="K119" s="10">
        <v>45666.602337962962</v>
      </c>
      <c r="L119" s="10">
        <v>45666.603321759263</v>
      </c>
      <c r="M119" s="11">
        <f t="shared" si="3"/>
        <v>1.0138888887013309E-2</v>
      </c>
      <c r="N119" s="11">
        <f t="shared" si="4"/>
        <v>4.9259259263635613E-2</v>
      </c>
      <c r="O119" s="10">
        <v>45666.565347222233</v>
      </c>
      <c r="P119" s="11">
        <f t="shared" si="5"/>
        <v>8.7962961697485298E-4</v>
      </c>
      <c r="Q119" s="12" t="s">
        <v>512</v>
      </c>
    </row>
    <row r="120" spans="1:17" ht="25.5" x14ac:dyDescent="0.45">
      <c r="A120" s="3" t="s">
        <v>513</v>
      </c>
      <c r="B120" s="3" t="s">
        <v>179</v>
      </c>
      <c r="C120" s="9">
        <v>32</v>
      </c>
      <c r="D120" s="3" t="s">
        <v>247</v>
      </c>
      <c r="E120" s="10">
        <v>45666.548090277778</v>
      </c>
      <c r="F120" s="10">
        <v>45666.556631944448</v>
      </c>
      <c r="G120" s="10">
        <v>45666.557511574072</v>
      </c>
      <c r="H120" s="3" t="s">
        <v>495</v>
      </c>
      <c r="I120" s="10">
        <v>45666.604444444441</v>
      </c>
      <c r="J120" s="10">
        <v>45666.623888888891</v>
      </c>
      <c r="K120" s="10">
        <v>45666.623888888891</v>
      </c>
      <c r="L120" s="10">
        <v>45666.624583333331</v>
      </c>
      <c r="M120" s="11">
        <f t="shared" si="3"/>
        <v>9.4212962940218858E-3</v>
      </c>
      <c r="N120" s="11">
        <f t="shared" si="4"/>
        <v>6.7071759258396924E-2</v>
      </c>
      <c r="O120" s="10">
        <v>45666.563275462962</v>
      </c>
      <c r="P120" s="11">
        <f t="shared" si="5"/>
        <v>4.1168981479131617E-2</v>
      </c>
      <c r="Q120" s="12" t="s">
        <v>514</v>
      </c>
    </row>
    <row r="121" spans="1:17" ht="25.5" x14ac:dyDescent="0.45">
      <c r="A121" s="3" t="s">
        <v>515</v>
      </c>
      <c r="B121" s="3" t="s">
        <v>179</v>
      </c>
      <c r="C121" s="9">
        <v>48</v>
      </c>
      <c r="D121" s="3" t="s">
        <v>283</v>
      </c>
      <c r="E121" s="10">
        <v>45666.548090277778</v>
      </c>
      <c r="F121" s="10">
        <v>45666.557511574072</v>
      </c>
      <c r="G121" s="10">
        <v>45666.558472222219</v>
      </c>
      <c r="H121" s="3" t="s">
        <v>502</v>
      </c>
      <c r="I121" s="10">
        <v>45666.572187500002</v>
      </c>
      <c r="J121" s="10">
        <v>45666.602743055562</v>
      </c>
      <c r="K121" s="10">
        <v>45666.604201388887</v>
      </c>
      <c r="L121" s="10">
        <v>45666.605081018519</v>
      </c>
      <c r="M121" s="11">
        <f t="shared" si="3"/>
        <v>1.0381944441178348E-2</v>
      </c>
      <c r="N121" s="11">
        <f t="shared" si="4"/>
        <v>4.6608796299551614E-2</v>
      </c>
      <c r="O121" s="10">
        <v>45666.566666666673</v>
      </c>
      <c r="P121" s="11">
        <f t="shared" si="5"/>
        <v>5.5208333287737332E-3</v>
      </c>
      <c r="Q121" s="12" t="s">
        <v>516</v>
      </c>
    </row>
    <row r="122" spans="1:17" ht="25.5" x14ac:dyDescent="0.45">
      <c r="A122" s="3" t="s">
        <v>517</v>
      </c>
      <c r="B122" s="3" t="s">
        <v>179</v>
      </c>
      <c r="C122" s="9">
        <v>48</v>
      </c>
      <c r="D122" s="3" t="s">
        <v>283</v>
      </c>
      <c r="E122" s="10">
        <v>45666.548090277778</v>
      </c>
      <c r="F122" s="10">
        <v>45666.557511574072</v>
      </c>
      <c r="G122" s="10">
        <v>45666.558472222219</v>
      </c>
      <c r="H122" s="3" t="s">
        <v>502</v>
      </c>
      <c r="I122" s="10">
        <v>45666.572187500002</v>
      </c>
      <c r="J122" s="10">
        <v>45666.602743055562</v>
      </c>
      <c r="K122" s="10">
        <v>45666.604201388887</v>
      </c>
      <c r="L122" s="10">
        <v>45666.605081018519</v>
      </c>
      <c r="M122" s="11">
        <f t="shared" si="3"/>
        <v>1.0381944441178348E-2</v>
      </c>
      <c r="N122" s="11">
        <f t="shared" si="4"/>
        <v>4.6608796299551614E-2</v>
      </c>
      <c r="O122" s="10">
        <v>45666.570324074077</v>
      </c>
      <c r="P122" s="11">
        <f t="shared" si="5"/>
        <v>1.8634259249665774E-3</v>
      </c>
      <c r="Q122" s="12" t="s">
        <v>518</v>
      </c>
    </row>
    <row r="123" spans="1:17" ht="25.5" x14ac:dyDescent="0.45">
      <c r="A123" s="3" t="s">
        <v>519</v>
      </c>
      <c r="B123" s="3" t="s">
        <v>179</v>
      </c>
      <c r="C123" s="9">
        <v>48</v>
      </c>
      <c r="D123" s="3" t="s">
        <v>231</v>
      </c>
      <c r="E123" s="10">
        <v>45666.548090277778</v>
      </c>
      <c r="F123" s="10">
        <v>45666.558472222219</v>
      </c>
      <c r="G123" s="10">
        <v>45666.559837962966</v>
      </c>
      <c r="H123" s="3" t="s">
        <v>461</v>
      </c>
      <c r="I123" s="10">
        <v>45666.577708333331</v>
      </c>
      <c r="J123" s="10">
        <v>45666.602708333332</v>
      </c>
      <c r="K123" s="10">
        <v>45666.603321759263</v>
      </c>
      <c r="L123" s="10">
        <v>45666.604201388887</v>
      </c>
      <c r="M123" s="11">
        <f t="shared" si="3"/>
        <v>1.1747685188311152E-2</v>
      </c>
      <c r="N123" s="11">
        <f t="shared" si="4"/>
        <v>4.4363425920892041E-2</v>
      </c>
      <c r="O123" s="10">
        <v>45666.572048611109</v>
      </c>
      <c r="P123" s="11">
        <f t="shared" si="5"/>
        <v>5.6597222210257314E-3</v>
      </c>
      <c r="Q123" s="12" t="s">
        <v>520</v>
      </c>
    </row>
    <row r="124" spans="1:17" ht="38.25" x14ac:dyDescent="0.45">
      <c r="A124" s="3" t="s">
        <v>521</v>
      </c>
      <c r="B124" s="3" t="s">
        <v>180</v>
      </c>
      <c r="C124" s="9">
        <v>32</v>
      </c>
      <c r="D124" s="3" t="s">
        <v>263</v>
      </c>
      <c r="E124" s="10">
        <v>45666.560798611114</v>
      </c>
      <c r="F124" s="10">
        <v>45666.565636574072</v>
      </c>
      <c r="G124" s="10">
        <v>45666.566840277781</v>
      </c>
      <c r="H124" s="3" t="s">
        <v>522</v>
      </c>
      <c r="I124" s="10">
        <v>45666.958321759259</v>
      </c>
      <c r="J124" s="10">
        <v>45666.991655092592</v>
      </c>
      <c r="K124" s="10">
        <v>45666.991655092592</v>
      </c>
      <c r="L124" s="10">
        <v>45666.992696759262</v>
      </c>
      <c r="M124" s="11">
        <f t="shared" si="3"/>
        <v>6.0416666674427688E-3</v>
      </c>
      <c r="N124" s="11">
        <f t="shared" si="4"/>
        <v>0.42585648148087785</v>
      </c>
      <c r="O124" s="10">
        <v>45666.570567129631</v>
      </c>
      <c r="P124" s="11">
        <f t="shared" si="5"/>
        <v>0.38775462962803431</v>
      </c>
      <c r="Q124" s="12" t="s">
        <v>523</v>
      </c>
    </row>
    <row r="125" spans="1:17" ht="25.5" x14ac:dyDescent="0.45">
      <c r="A125" s="3" t="s">
        <v>524</v>
      </c>
      <c r="B125" s="3" t="s">
        <v>180</v>
      </c>
      <c r="C125" s="9">
        <v>48</v>
      </c>
      <c r="D125" s="3" t="s">
        <v>247</v>
      </c>
      <c r="E125" s="10">
        <v>45666.560798611114</v>
      </c>
      <c r="F125" s="10">
        <v>45666.566840277781</v>
      </c>
      <c r="G125" s="10">
        <v>45666.567777777767</v>
      </c>
      <c r="H125" s="3" t="s">
        <v>495</v>
      </c>
      <c r="I125" s="10">
        <v>45666.604444444441</v>
      </c>
      <c r="J125" s="10">
        <v>45666.623888888891</v>
      </c>
      <c r="K125" s="10">
        <v>45666.623888888891</v>
      </c>
      <c r="L125" s="10">
        <v>45666.624583333331</v>
      </c>
      <c r="M125" s="11">
        <f t="shared" si="3"/>
        <v>6.9791666537639685E-3</v>
      </c>
      <c r="N125" s="11">
        <f t="shared" si="4"/>
        <v>5.6805555563187227E-2</v>
      </c>
      <c r="O125" s="10">
        <v>45666.575972222221</v>
      </c>
      <c r="P125" s="11">
        <f t="shared" si="5"/>
        <v>2.8472222220443655E-2</v>
      </c>
      <c r="Q125" s="12" t="s">
        <v>525</v>
      </c>
    </row>
    <row r="126" spans="1:17" ht="25.5" x14ac:dyDescent="0.45">
      <c r="A126" s="3" t="s">
        <v>526</v>
      </c>
      <c r="B126" s="3" t="s">
        <v>181</v>
      </c>
      <c r="C126" s="9">
        <v>80</v>
      </c>
      <c r="D126" s="3" t="s">
        <v>283</v>
      </c>
      <c r="E126" s="10">
        <v>45666.570787037039</v>
      </c>
      <c r="F126" s="10">
        <v>45666.577291666668</v>
      </c>
      <c r="G126" s="10">
        <v>45666.578611111108</v>
      </c>
      <c r="H126" s="3" t="s">
        <v>527</v>
      </c>
      <c r="I126" s="10">
        <v>45666.616261574083</v>
      </c>
      <c r="J126" s="10">
        <v>45666.641261574077</v>
      </c>
      <c r="K126" s="10">
        <v>45666.641759259262</v>
      </c>
      <c r="L126" s="10">
        <v>45666.642638888887</v>
      </c>
      <c r="M126" s="11">
        <f t="shared" si="3"/>
        <v>7.8240740695036948E-3</v>
      </c>
      <c r="N126" s="11">
        <f t="shared" si="4"/>
        <v>6.4027777778392192E-2</v>
      </c>
      <c r="O126" s="10">
        <v>45666.611331018517</v>
      </c>
      <c r="P126" s="11">
        <f t="shared" si="5"/>
        <v>4.9305555658065714E-3</v>
      </c>
      <c r="Q126" s="12" t="s">
        <v>528</v>
      </c>
    </row>
    <row r="127" spans="1:17" ht="25.5" x14ac:dyDescent="0.45">
      <c r="A127" s="3" t="s">
        <v>529</v>
      </c>
      <c r="B127" s="3" t="s">
        <v>181</v>
      </c>
      <c r="C127" s="9">
        <v>80</v>
      </c>
      <c r="D127" s="3" t="s">
        <v>237</v>
      </c>
      <c r="E127" s="10">
        <v>45666.570787037039</v>
      </c>
      <c r="F127" s="10">
        <v>45666.578611111108</v>
      </c>
      <c r="G127" s="10">
        <v>45666.579930555563</v>
      </c>
      <c r="H127" s="3" t="s">
        <v>530</v>
      </c>
      <c r="I127" s="10">
        <v>45666.621469907397</v>
      </c>
      <c r="J127" s="10">
        <v>45666.640914351847</v>
      </c>
      <c r="K127" s="10">
        <v>45666.640914351847</v>
      </c>
      <c r="L127" s="10">
        <v>45666.641759259262</v>
      </c>
      <c r="M127" s="11">
        <f t="shared" si="3"/>
        <v>9.1435185240698047E-3</v>
      </c>
      <c r="N127" s="11">
        <f t="shared" si="4"/>
        <v>6.1828703699575271E-2</v>
      </c>
      <c r="O127" s="10">
        <v>45666.612222222233</v>
      </c>
      <c r="P127" s="11">
        <f t="shared" si="5"/>
        <v>9.2476851641549729E-3</v>
      </c>
      <c r="Q127" s="12" t="s">
        <v>531</v>
      </c>
    </row>
    <row r="128" spans="1:17" ht="25.5" x14ac:dyDescent="0.45">
      <c r="A128" s="3" t="s">
        <v>532</v>
      </c>
      <c r="B128" s="3" t="s">
        <v>181</v>
      </c>
      <c r="C128" s="9">
        <v>32</v>
      </c>
      <c r="D128" s="3" t="s">
        <v>237</v>
      </c>
      <c r="E128" s="10">
        <v>45666.570787037039</v>
      </c>
      <c r="F128" s="10">
        <v>45666.578611111108</v>
      </c>
      <c r="G128" s="10">
        <v>45666.579930555563</v>
      </c>
      <c r="H128" s="3" t="s">
        <v>530</v>
      </c>
      <c r="I128" s="10">
        <v>45666.621469907397</v>
      </c>
      <c r="J128" s="10">
        <v>45666.640914351847</v>
      </c>
      <c r="K128" s="10">
        <v>45666.640914351847</v>
      </c>
      <c r="L128" s="10">
        <v>45666.641759259262</v>
      </c>
      <c r="M128" s="11">
        <f t="shared" si="3"/>
        <v>9.1435185240698047E-3</v>
      </c>
      <c r="N128" s="11">
        <f t="shared" si="4"/>
        <v>6.1828703699575271E-2</v>
      </c>
      <c r="O128" s="10">
        <v>45666.617349537039</v>
      </c>
      <c r="P128" s="11">
        <f t="shared" si="5"/>
        <v>4.1203703585779294E-3</v>
      </c>
      <c r="Q128" s="12" t="s">
        <v>533</v>
      </c>
    </row>
    <row r="129" spans="1:17" ht="25.5" x14ac:dyDescent="0.45">
      <c r="A129" s="3" t="s">
        <v>534</v>
      </c>
      <c r="B129" s="3" t="s">
        <v>182</v>
      </c>
      <c r="C129" s="9">
        <v>80</v>
      </c>
      <c r="D129" s="3" t="s">
        <v>231</v>
      </c>
      <c r="E129" s="10">
        <v>45666.577986111108</v>
      </c>
      <c r="F129" s="10">
        <v>45666.587326388893</v>
      </c>
      <c r="G129" s="10">
        <v>45666.588472222233</v>
      </c>
      <c r="H129" s="3" t="s">
        <v>535</v>
      </c>
      <c r="I129" s="10">
        <v>45666.625625000001</v>
      </c>
      <c r="J129" s="10">
        <v>45666.647847222222</v>
      </c>
      <c r="K129" s="10">
        <v>45666.647847222222</v>
      </c>
      <c r="L129" s="10">
        <v>45666.648680555547</v>
      </c>
      <c r="M129" s="11">
        <f t="shared" si="3"/>
        <v>1.0486111124919262E-2</v>
      </c>
      <c r="N129" s="11">
        <f t="shared" si="4"/>
        <v>6.0208333314221818E-2</v>
      </c>
      <c r="O129" s="10">
        <v>45666.611689814818</v>
      </c>
      <c r="P129" s="11">
        <f t="shared" si="5"/>
        <v>1.3935185183072463E-2</v>
      </c>
      <c r="Q129" s="12" t="s">
        <v>536</v>
      </c>
    </row>
    <row r="130" spans="1:17" ht="25.5" x14ac:dyDescent="0.45">
      <c r="A130" s="3" t="s">
        <v>537</v>
      </c>
      <c r="B130" s="3" t="s">
        <v>182</v>
      </c>
      <c r="C130" s="9">
        <v>64</v>
      </c>
      <c r="D130" s="3" t="s">
        <v>283</v>
      </c>
      <c r="E130" s="10">
        <v>45666.577986111108</v>
      </c>
      <c r="F130" s="10">
        <v>45666.588472222233</v>
      </c>
      <c r="G130" s="10">
        <v>45666.589745370373</v>
      </c>
      <c r="H130" s="3" t="s">
        <v>527</v>
      </c>
      <c r="I130" s="10">
        <v>45666.616261574083</v>
      </c>
      <c r="J130" s="10">
        <v>45666.641261574077</v>
      </c>
      <c r="K130" s="10">
        <v>45666.641759259262</v>
      </c>
      <c r="L130" s="10">
        <v>45666.642638888887</v>
      </c>
      <c r="M130" s="11">
        <f t="shared" ref="M130:M193" si="6">IF(AND(ISNUMBER(E130),ISNUMBER(G130)),(G130-E130),"")</f>
        <v>1.1759259265090805E-2</v>
      </c>
      <c r="N130" s="11">
        <f t="shared" ref="N130:N193" si="7">IF(AND(ISNUMBER(G130),ISNUMBER(L130)),(L130-G130),"")</f>
        <v>5.2893518513883464E-2</v>
      </c>
      <c r="O130" s="10">
        <v>45666.614548611113</v>
      </c>
      <c r="P130" s="11">
        <f t="shared" ref="P130:P193" si="8">IF(AND(ISNUMBER(I130),ISNUMBER(O130)),(I130-O130),"")</f>
        <v>1.7129629704868421E-3</v>
      </c>
      <c r="Q130" s="12" t="s">
        <v>538</v>
      </c>
    </row>
    <row r="131" spans="1:17" ht="25.5" x14ac:dyDescent="0.45">
      <c r="A131" s="3" t="s">
        <v>539</v>
      </c>
      <c r="B131" s="3" t="s">
        <v>182</v>
      </c>
      <c r="C131" s="9">
        <v>48</v>
      </c>
      <c r="D131" s="3" t="s">
        <v>231</v>
      </c>
      <c r="E131" s="10">
        <v>45666.577986111108</v>
      </c>
      <c r="F131" s="10">
        <v>45666.589745370373</v>
      </c>
      <c r="G131" s="10">
        <v>45666.590810185182</v>
      </c>
      <c r="H131" s="3" t="s">
        <v>535</v>
      </c>
      <c r="I131" s="10">
        <v>45666.625625000001</v>
      </c>
      <c r="J131" s="10">
        <v>45666.647847222222</v>
      </c>
      <c r="K131" s="10">
        <v>45666.647847222222</v>
      </c>
      <c r="L131" s="10">
        <v>45666.648680555547</v>
      </c>
      <c r="M131" s="11">
        <f t="shared" si="6"/>
        <v>1.2824074074160308E-2</v>
      </c>
      <c r="N131" s="11">
        <f t="shared" si="7"/>
        <v>5.7870370364980772E-2</v>
      </c>
      <c r="O131" s="10">
        <v>45666.61990740741</v>
      </c>
      <c r="P131" s="11">
        <f t="shared" si="8"/>
        <v>5.7175925903720781E-3</v>
      </c>
      <c r="Q131" s="12" t="s">
        <v>540</v>
      </c>
    </row>
    <row r="132" spans="1:17" ht="25.5" x14ac:dyDescent="0.45">
      <c r="A132" s="3" t="s">
        <v>541</v>
      </c>
      <c r="B132" s="3" t="s">
        <v>183</v>
      </c>
      <c r="C132" s="9">
        <v>80</v>
      </c>
      <c r="D132" s="3" t="s">
        <v>354</v>
      </c>
      <c r="E132" s="10">
        <v>45666.793587962973</v>
      </c>
      <c r="F132" s="10">
        <v>45666.799375000002</v>
      </c>
      <c r="G132" s="10">
        <v>45666.800451388888</v>
      </c>
      <c r="H132" s="3" t="s">
        <v>542</v>
      </c>
      <c r="I132" s="10">
        <v>45666.816643518519</v>
      </c>
      <c r="J132" s="10">
        <v>45666.841643518521</v>
      </c>
      <c r="K132" s="10">
        <v>45666.841643518521</v>
      </c>
      <c r="L132" s="10">
        <v>45666.842442129629</v>
      </c>
      <c r="M132" s="11">
        <f t="shared" si="6"/>
        <v>6.8634259150712751E-3</v>
      </c>
      <c r="N132" s="11">
        <f t="shared" si="7"/>
        <v>4.1990740741312038E-2</v>
      </c>
      <c r="O132" s="10">
        <v>45666.809467592589</v>
      </c>
      <c r="P132" s="11">
        <f t="shared" si="8"/>
        <v>7.1759259299142286E-3</v>
      </c>
      <c r="Q132" s="12" t="s">
        <v>543</v>
      </c>
    </row>
    <row r="133" spans="1:17" ht="25.5" x14ac:dyDescent="0.45">
      <c r="A133" s="3" t="s">
        <v>544</v>
      </c>
      <c r="B133" s="3" t="s">
        <v>183</v>
      </c>
      <c r="C133" s="9">
        <v>64</v>
      </c>
      <c r="D133" s="3" t="s">
        <v>354</v>
      </c>
      <c r="E133" s="10">
        <v>45666.793587962973</v>
      </c>
      <c r="F133" s="10">
        <v>45666.799375000002</v>
      </c>
      <c r="G133" s="10">
        <v>45666.800451388888</v>
      </c>
      <c r="H133" s="3" t="s">
        <v>542</v>
      </c>
      <c r="I133" s="10">
        <v>45666.816643518519</v>
      </c>
      <c r="J133" s="10">
        <v>45666.841643518521</v>
      </c>
      <c r="K133" s="10">
        <v>45666.841643518521</v>
      </c>
      <c r="L133" s="10">
        <v>45666.842442129629</v>
      </c>
      <c r="M133" s="11">
        <f t="shared" si="6"/>
        <v>6.8634259150712751E-3</v>
      </c>
      <c r="N133" s="11">
        <f t="shared" si="7"/>
        <v>4.1990740741312038E-2</v>
      </c>
      <c r="O133" s="10">
        <v>45666.811932870369</v>
      </c>
      <c r="P133" s="11">
        <f t="shared" si="8"/>
        <v>4.7106481506489217E-3</v>
      </c>
      <c r="Q133" s="12" t="s">
        <v>545</v>
      </c>
    </row>
    <row r="134" spans="1:17" ht="25.5" x14ac:dyDescent="0.45">
      <c r="A134" s="3" t="s">
        <v>546</v>
      </c>
      <c r="B134" s="3" t="s">
        <v>184</v>
      </c>
      <c r="C134" s="9">
        <v>48</v>
      </c>
      <c r="D134" s="3" t="s">
        <v>283</v>
      </c>
      <c r="E134" s="10">
        <v>45666.7969212963</v>
      </c>
      <c r="F134" s="10">
        <v>45666.808125000003</v>
      </c>
      <c r="G134" s="10">
        <v>45666.809155092589</v>
      </c>
      <c r="H134" s="3" t="s">
        <v>547</v>
      </c>
      <c r="I134" s="10">
        <v>45666.824421296304</v>
      </c>
      <c r="J134" s="10">
        <v>45666.85497685185</v>
      </c>
      <c r="K134" s="10">
        <v>45666.85497685185</v>
      </c>
      <c r="L134" s="10">
        <v>45666.855821759258</v>
      </c>
      <c r="M134" s="11">
        <f t="shared" si="6"/>
        <v>1.2233796289365273E-2</v>
      </c>
      <c r="N134" s="11">
        <f t="shared" si="7"/>
        <v>4.666666666889796E-2</v>
      </c>
      <c r="O134" s="10">
        <v>45666.81490740741</v>
      </c>
      <c r="P134" s="11">
        <f t="shared" si="8"/>
        <v>9.5138888937071897E-3</v>
      </c>
      <c r="Q134" s="12" t="s">
        <v>548</v>
      </c>
    </row>
    <row r="135" spans="1:17" ht="25.5" x14ac:dyDescent="0.45">
      <c r="A135" s="3" t="s">
        <v>549</v>
      </c>
      <c r="B135" s="3" t="s">
        <v>184</v>
      </c>
      <c r="C135" s="9">
        <v>48</v>
      </c>
      <c r="D135" s="3" t="s">
        <v>283</v>
      </c>
      <c r="E135" s="10">
        <v>45666.7969212963</v>
      </c>
      <c r="F135" s="10">
        <v>45666.808125000003</v>
      </c>
      <c r="G135" s="10">
        <v>45666.809155092589</v>
      </c>
      <c r="H135" s="3" t="s">
        <v>547</v>
      </c>
      <c r="I135" s="10">
        <v>45666.824421296304</v>
      </c>
      <c r="J135" s="10">
        <v>45666.85497685185</v>
      </c>
      <c r="K135" s="10">
        <v>45666.85497685185</v>
      </c>
      <c r="L135" s="10">
        <v>45666.855821759258</v>
      </c>
      <c r="M135" s="11">
        <f t="shared" si="6"/>
        <v>1.2233796289365273E-2</v>
      </c>
      <c r="N135" s="11">
        <f t="shared" si="7"/>
        <v>4.666666666889796E-2</v>
      </c>
      <c r="O135" s="10">
        <v>45666.818206018521</v>
      </c>
      <c r="P135" s="11">
        <f t="shared" si="8"/>
        <v>6.2152777827577665E-3</v>
      </c>
      <c r="Q135" s="12" t="s">
        <v>550</v>
      </c>
    </row>
    <row r="136" spans="1:17" ht="25.5" x14ac:dyDescent="0.45">
      <c r="A136" s="3" t="s">
        <v>551</v>
      </c>
      <c r="B136" s="3" t="s">
        <v>184</v>
      </c>
      <c r="C136" s="9">
        <v>64</v>
      </c>
      <c r="D136" s="3" t="s">
        <v>237</v>
      </c>
      <c r="E136" s="10">
        <v>45666.7969212963</v>
      </c>
      <c r="F136" s="10">
        <v>45666.809155092589</v>
      </c>
      <c r="G136" s="10">
        <v>45666.810682870368</v>
      </c>
      <c r="H136" s="3" t="s">
        <v>552</v>
      </c>
      <c r="I136" s="10">
        <v>45667.575150462973</v>
      </c>
      <c r="J136" s="10">
        <v>45667.605706018519</v>
      </c>
      <c r="K136" s="10">
        <v>45667.605706018519</v>
      </c>
      <c r="L136" s="10">
        <v>45667.606608796297</v>
      </c>
      <c r="M136" s="11">
        <f t="shared" si="6"/>
        <v>1.3761574067757465E-2</v>
      </c>
      <c r="N136" s="11">
        <f t="shared" si="7"/>
        <v>0.79592592592962319</v>
      </c>
      <c r="O136" s="10">
        <v>45666.818067129629</v>
      </c>
      <c r="P136" s="11">
        <f t="shared" si="8"/>
        <v>0.75708333334478084</v>
      </c>
      <c r="Q136" s="12" t="s">
        <v>553</v>
      </c>
    </row>
    <row r="137" spans="1:17" ht="25.5" x14ac:dyDescent="0.45">
      <c r="A137" s="3" t="s">
        <v>554</v>
      </c>
      <c r="B137" s="3" t="s">
        <v>184</v>
      </c>
      <c r="C137" s="9">
        <v>32</v>
      </c>
      <c r="D137" s="3" t="s">
        <v>237</v>
      </c>
      <c r="E137" s="10">
        <v>45666.7969212963</v>
      </c>
      <c r="F137" s="10">
        <v>45666.809155092589</v>
      </c>
      <c r="G137" s="10">
        <v>45666.810682870368</v>
      </c>
      <c r="H137" s="3" t="s">
        <v>552</v>
      </c>
      <c r="I137" s="10">
        <v>45667.575150462973</v>
      </c>
      <c r="J137" s="10">
        <v>45667.605706018519</v>
      </c>
      <c r="K137" s="10">
        <v>45667.605706018519</v>
      </c>
      <c r="L137" s="10">
        <v>45667.606608796297</v>
      </c>
      <c r="M137" s="11">
        <f t="shared" si="6"/>
        <v>1.3761574067757465E-2</v>
      </c>
      <c r="N137" s="11">
        <f t="shared" si="7"/>
        <v>0.79592592592962319</v>
      </c>
      <c r="O137" s="10">
        <v>45666.816782407397</v>
      </c>
      <c r="P137" s="11">
        <f t="shared" si="8"/>
        <v>0.75836805557628395</v>
      </c>
      <c r="Q137" s="12" t="s">
        <v>555</v>
      </c>
    </row>
    <row r="138" spans="1:17" ht="25.5" x14ac:dyDescent="0.45">
      <c r="A138" s="3" t="s">
        <v>556</v>
      </c>
      <c r="B138" s="3" t="s">
        <v>184</v>
      </c>
      <c r="C138" s="9">
        <v>80</v>
      </c>
      <c r="D138" s="3" t="s">
        <v>283</v>
      </c>
      <c r="E138" s="10">
        <v>45666.7969212963</v>
      </c>
      <c r="F138" s="10">
        <v>45666.810682870368</v>
      </c>
      <c r="G138" s="10">
        <v>45666.811678240738</v>
      </c>
      <c r="H138" s="3" t="s">
        <v>547</v>
      </c>
      <c r="I138" s="10">
        <v>45666.824421296304</v>
      </c>
      <c r="J138" s="10">
        <v>45666.85497685185</v>
      </c>
      <c r="K138" s="10">
        <v>45666.85497685185</v>
      </c>
      <c r="L138" s="10">
        <v>45666.855821759258</v>
      </c>
      <c r="M138" s="11">
        <f t="shared" si="6"/>
        <v>1.4756944437976927E-2</v>
      </c>
      <c r="N138" s="11">
        <f t="shared" si="7"/>
        <v>4.4143518520286307E-2</v>
      </c>
      <c r="O138" s="10">
        <v>45666.823553240742</v>
      </c>
      <c r="P138" s="11">
        <f t="shared" si="8"/>
        <v>8.6805556202307343E-4</v>
      </c>
      <c r="Q138" s="12" t="s">
        <v>557</v>
      </c>
    </row>
    <row r="139" spans="1:17" ht="25.5" x14ac:dyDescent="0.45">
      <c r="A139" s="3" t="s">
        <v>558</v>
      </c>
      <c r="B139" s="3" t="s">
        <v>185</v>
      </c>
      <c r="C139" s="9">
        <v>64</v>
      </c>
      <c r="D139" s="3" t="s">
        <v>263</v>
      </c>
      <c r="E139" s="10">
        <v>45666.939456018517</v>
      </c>
      <c r="F139" s="10">
        <v>45666.945335648154</v>
      </c>
      <c r="G139" s="10">
        <v>45666.946840277778</v>
      </c>
      <c r="H139" s="3" t="s">
        <v>522</v>
      </c>
      <c r="I139" s="10">
        <v>45666.958321759259</v>
      </c>
      <c r="J139" s="10">
        <v>45666.991655092592</v>
      </c>
      <c r="K139" s="10">
        <v>45666.991655092592</v>
      </c>
      <c r="L139" s="10">
        <v>45666.992696759262</v>
      </c>
      <c r="M139" s="11">
        <f t="shared" si="6"/>
        <v>7.3842592610162683E-3</v>
      </c>
      <c r="N139" s="11">
        <f t="shared" si="7"/>
        <v>4.5856481483497191E-2</v>
      </c>
      <c r="O139" s="10">
        <v>45666.957453703697</v>
      </c>
      <c r="P139" s="11">
        <f t="shared" si="8"/>
        <v>8.6805556202307343E-4</v>
      </c>
      <c r="Q139" s="12" t="s">
        <v>559</v>
      </c>
    </row>
    <row r="140" spans="1:17" ht="38.25" x14ac:dyDescent="0.45">
      <c r="A140" s="3" t="s">
        <v>560</v>
      </c>
      <c r="B140" s="3" t="s">
        <v>185</v>
      </c>
      <c r="C140" s="9">
        <v>32</v>
      </c>
      <c r="D140" s="3" t="s">
        <v>263</v>
      </c>
      <c r="E140" s="10">
        <v>45666.939456018517</v>
      </c>
      <c r="F140" s="10">
        <v>45666.945335648154</v>
      </c>
      <c r="G140" s="10">
        <v>45666.946840277778</v>
      </c>
      <c r="H140" s="3" t="s">
        <v>522</v>
      </c>
      <c r="I140" s="10">
        <v>45666.958321759259</v>
      </c>
      <c r="J140" s="10">
        <v>45666.991655092592</v>
      </c>
      <c r="K140" s="10">
        <v>45666.991655092592</v>
      </c>
      <c r="L140" s="10">
        <v>45666.992696759262</v>
      </c>
      <c r="M140" s="11">
        <f t="shared" si="6"/>
        <v>7.3842592610162683E-3</v>
      </c>
      <c r="N140" s="11">
        <f t="shared" si="7"/>
        <v>4.5856481483497191E-2</v>
      </c>
      <c r="O140" s="10">
        <v>45666.953425925924</v>
      </c>
      <c r="P140" s="11">
        <f t="shared" si="8"/>
        <v>4.8958333354676142E-3</v>
      </c>
      <c r="Q140" s="12" t="s">
        <v>561</v>
      </c>
    </row>
    <row r="141" spans="1:17" ht="25.5" x14ac:dyDescent="0.45">
      <c r="A141" s="3" t="s">
        <v>562</v>
      </c>
      <c r="B141" s="3" t="s">
        <v>185</v>
      </c>
      <c r="C141" s="9">
        <v>32</v>
      </c>
      <c r="D141" s="3" t="s">
        <v>263</v>
      </c>
      <c r="E141" s="10">
        <v>45666.939456018517</v>
      </c>
      <c r="F141" s="10">
        <v>45666.945335648154</v>
      </c>
      <c r="G141" s="10">
        <v>45666.946840277778</v>
      </c>
      <c r="H141" s="3" t="s">
        <v>522</v>
      </c>
      <c r="I141" s="10">
        <v>45666.958321759259</v>
      </c>
      <c r="J141" s="10">
        <v>45666.991655092592</v>
      </c>
      <c r="K141" s="10">
        <v>45666.991655092592</v>
      </c>
      <c r="L141" s="10">
        <v>45666.992696759262</v>
      </c>
      <c r="M141" s="11">
        <f t="shared" si="6"/>
        <v>7.3842592610162683E-3</v>
      </c>
      <c r="N141" s="11">
        <f t="shared" si="7"/>
        <v>4.5856481483497191E-2</v>
      </c>
      <c r="O141" s="10">
        <v>45666.954282407409</v>
      </c>
      <c r="P141" s="11">
        <f t="shared" si="8"/>
        <v>4.0393518502241932E-3</v>
      </c>
      <c r="Q141" s="12" t="s">
        <v>563</v>
      </c>
    </row>
    <row r="142" spans="1:17" ht="25.5" x14ac:dyDescent="0.45">
      <c r="A142" s="3" t="s">
        <v>564</v>
      </c>
      <c r="B142" s="3" t="s">
        <v>185</v>
      </c>
      <c r="C142" s="9">
        <v>32</v>
      </c>
      <c r="D142" s="3" t="s">
        <v>263</v>
      </c>
      <c r="E142" s="10">
        <v>45666.939456018517</v>
      </c>
      <c r="F142" s="10">
        <v>45666.945335648154</v>
      </c>
      <c r="G142" s="10">
        <v>45666.946840277778</v>
      </c>
      <c r="H142" s="3" t="s">
        <v>522</v>
      </c>
      <c r="I142" s="10">
        <v>45666.958321759259</v>
      </c>
      <c r="J142" s="10">
        <v>45666.991655092592</v>
      </c>
      <c r="K142" s="10">
        <v>45666.991655092592</v>
      </c>
      <c r="L142" s="10">
        <v>45666.992696759262</v>
      </c>
      <c r="M142" s="11">
        <f t="shared" si="6"/>
        <v>7.3842592610162683E-3</v>
      </c>
      <c r="N142" s="11">
        <f t="shared" si="7"/>
        <v>4.5856481483497191E-2</v>
      </c>
      <c r="O142" s="10">
        <v>45666.955150462964</v>
      </c>
      <c r="P142" s="11">
        <f t="shared" si="8"/>
        <v>3.1712962954770774E-3</v>
      </c>
      <c r="Q142" s="12" t="s">
        <v>565</v>
      </c>
    </row>
    <row r="143" spans="1:17" ht="25.5" x14ac:dyDescent="0.45">
      <c r="A143" s="3" t="s">
        <v>566</v>
      </c>
      <c r="B143" s="3" t="s">
        <v>186</v>
      </c>
      <c r="C143" s="9">
        <v>32</v>
      </c>
      <c r="D143" s="3" t="s">
        <v>231</v>
      </c>
      <c r="E143" s="10">
        <v>45667.293622685182</v>
      </c>
      <c r="F143" s="10">
        <v>45667.303055555552</v>
      </c>
      <c r="G143" s="10">
        <v>45667.303877314807</v>
      </c>
      <c r="H143" s="3" t="s">
        <v>567</v>
      </c>
      <c r="I143" s="10">
        <v>45667.400069444448</v>
      </c>
      <c r="J143" s="10">
        <v>45667.425069444442</v>
      </c>
      <c r="K143" s="10">
        <v>45667.425069444442</v>
      </c>
      <c r="L143" s="10">
        <v>45667.425868055558</v>
      </c>
      <c r="M143" s="11">
        <f t="shared" si="6"/>
        <v>1.0254629625706002E-2</v>
      </c>
      <c r="N143" s="11">
        <f t="shared" si="7"/>
        <v>0.12199074075033423</v>
      </c>
      <c r="O143" s="10">
        <v>45667.307997685188</v>
      </c>
      <c r="P143" s="11">
        <f t="shared" si="8"/>
        <v>9.2071759259852115E-2</v>
      </c>
      <c r="Q143" s="12" t="s">
        <v>568</v>
      </c>
    </row>
    <row r="144" spans="1:17" ht="25.5" x14ac:dyDescent="0.45">
      <c r="A144" s="3" t="s">
        <v>569</v>
      </c>
      <c r="B144" s="3" t="s">
        <v>186</v>
      </c>
      <c r="C144" s="9">
        <v>48</v>
      </c>
      <c r="D144" s="3" t="s">
        <v>354</v>
      </c>
      <c r="E144" s="10">
        <v>45667.293622685182</v>
      </c>
      <c r="F144" s="10">
        <v>45667.303877314807</v>
      </c>
      <c r="G144" s="10">
        <v>45667.304814814823</v>
      </c>
      <c r="H144" s="3" t="s">
        <v>570</v>
      </c>
      <c r="I144" s="10">
        <v>45667.646562499998</v>
      </c>
      <c r="J144" s="10">
        <v>45667.66878472222</v>
      </c>
      <c r="K144" s="10">
        <v>45667.66878472222</v>
      </c>
      <c r="L144" s="10">
        <v>45667.66951388889</v>
      </c>
      <c r="M144" s="11">
        <f t="shared" si="6"/>
        <v>1.1192129641131032E-2</v>
      </c>
      <c r="N144" s="11">
        <f t="shared" si="7"/>
        <v>0.36469907406717539</v>
      </c>
      <c r="O144" s="10">
        <v>45667.310543981483</v>
      </c>
      <c r="P144" s="11">
        <f t="shared" si="8"/>
        <v>0.33601851851562969</v>
      </c>
      <c r="Q144" s="12" t="s">
        <v>571</v>
      </c>
    </row>
    <row r="145" spans="1:17" ht="25.5" x14ac:dyDescent="0.45">
      <c r="A145" s="3" t="s">
        <v>572</v>
      </c>
      <c r="B145" s="3" t="s">
        <v>186</v>
      </c>
      <c r="C145" s="9">
        <v>32</v>
      </c>
      <c r="D145" s="3" t="s">
        <v>255</v>
      </c>
      <c r="E145" s="10">
        <v>45667.293622685182</v>
      </c>
      <c r="F145" s="10">
        <v>45667.304814814823</v>
      </c>
      <c r="G145" s="10">
        <v>45667.306006944447</v>
      </c>
      <c r="H145" s="3" t="s">
        <v>478</v>
      </c>
      <c r="I145" s="10">
        <v>45667.704270833332</v>
      </c>
      <c r="J145" s="10">
        <v>45667.732048611113</v>
      </c>
      <c r="K145" s="10">
        <v>45667.732048611113</v>
      </c>
      <c r="L145" s="10">
        <v>45667.732928240737</v>
      </c>
      <c r="M145" s="11">
        <f t="shared" si="6"/>
        <v>1.2384259265672881E-2</v>
      </c>
      <c r="N145" s="11">
        <f t="shared" si="7"/>
        <v>0.42692129628994735</v>
      </c>
      <c r="O145" s="10">
        <v>45667.311736111107</v>
      </c>
      <c r="P145" s="11">
        <f t="shared" si="8"/>
        <v>0.39253472222480923</v>
      </c>
      <c r="Q145" s="12" t="s">
        <v>573</v>
      </c>
    </row>
    <row r="146" spans="1:17" ht="25.5" x14ac:dyDescent="0.45">
      <c r="A146" s="3" t="s">
        <v>574</v>
      </c>
      <c r="B146" s="3" t="s">
        <v>186</v>
      </c>
      <c r="C146" s="9">
        <v>48</v>
      </c>
      <c r="D146" s="3" t="s">
        <v>231</v>
      </c>
      <c r="E146" s="10">
        <v>45667.293622685182</v>
      </c>
      <c r="F146" s="10">
        <v>45667.306006944447</v>
      </c>
      <c r="G146" s="10">
        <v>45667.306875000002</v>
      </c>
      <c r="H146" s="3" t="s">
        <v>567</v>
      </c>
      <c r="I146" s="10">
        <v>45667.400069444448</v>
      </c>
      <c r="J146" s="10">
        <v>45667.425069444442</v>
      </c>
      <c r="K146" s="10">
        <v>45667.425069444442</v>
      </c>
      <c r="L146" s="10">
        <v>45667.425868055558</v>
      </c>
      <c r="M146" s="11">
        <f t="shared" si="6"/>
        <v>1.3252314820419997E-2</v>
      </c>
      <c r="N146" s="11">
        <f t="shared" si="7"/>
        <v>0.11899305555562023</v>
      </c>
      <c r="O146" s="10">
        <v>45667.315069444441</v>
      </c>
      <c r="P146" s="11">
        <f t="shared" si="8"/>
        <v>8.5000000006402843E-2</v>
      </c>
      <c r="Q146" s="12" t="s">
        <v>575</v>
      </c>
    </row>
    <row r="147" spans="1:17" ht="25.5" x14ac:dyDescent="0.45">
      <c r="A147" s="3" t="s">
        <v>576</v>
      </c>
      <c r="B147" s="3" t="s">
        <v>187</v>
      </c>
      <c r="C147" s="9">
        <v>64</v>
      </c>
      <c r="D147" s="3" t="s">
        <v>283</v>
      </c>
      <c r="E147" s="10">
        <v>45667.317893518521</v>
      </c>
      <c r="F147" s="10">
        <v>45667.325567129628</v>
      </c>
      <c r="G147" s="10">
        <v>45667.326840277783</v>
      </c>
      <c r="H147" s="3" t="s">
        <v>577</v>
      </c>
      <c r="I147" s="10">
        <v>45667.594421296293</v>
      </c>
      <c r="J147" s="10">
        <v>45667.624976851846</v>
      </c>
      <c r="K147" s="10">
        <v>45667.624976851846</v>
      </c>
      <c r="L147" s="10">
        <v>45667.625972222217</v>
      </c>
      <c r="M147" s="11">
        <f t="shared" si="6"/>
        <v>8.9467592624714598E-3</v>
      </c>
      <c r="N147" s="11">
        <f t="shared" si="7"/>
        <v>0.29913194443361135</v>
      </c>
      <c r="O147" s="10">
        <v>45667.334236111114</v>
      </c>
      <c r="P147" s="11">
        <f t="shared" si="8"/>
        <v>0.26018518517958</v>
      </c>
      <c r="Q147" s="12" t="s">
        <v>578</v>
      </c>
    </row>
    <row r="148" spans="1:17" ht="25.5" x14ac:dyDescent="0.45">
      <c r="A148" s="3" t="s">
        <v>579</v>
      </c>
      <c r="B148" s="3" t="s">
        <v>187</v>
      </c>
      <c r="C148" s="9">
        <v>32</v>
      </c>
      <c r="D148" s="3" t="s">
        <v>263</v>
      </c>
      <c r="E148" s="10">
        <v>45667.317893518521</v>
      </c>
      <c r="F148" s="10">
        <v>45667.326840277783</v>
      </c>
      <c r="G148" s="10">
        <v>45667.328067129631</v>
      </c>
      <c r="H148" s="3" t="s">
        <v>580</v>
      </c>
      <c r="I148" s="10">
        <v>45667.570462962962</v>
      </c>
      <c r="J148" s="10">
        <v>45667.592685185176</v>
      </c>
      <c r="K148" s="10">
        <v>45667.592685185176</v>
      </c>
      <c r="L148" s="10">
        <v>45667.593518518523</v>
      </c>
      <c r="M148" s="11">
        <f t="shared" si="6"/>
        <v>1.0173611110076308E-2</v>
      </c>
      <c r="N148" s="11">
        <f t="shared" si="7"/>
        <v>0.26545138889196096</v>
      </c>
      <c r="O148" s="10">
        <v>45667.332187499997</v>
      </c>
      <c r="P148" s="11">
        <f t="shared" si="8"/>
        <v>0.23827546296524815</v>
      </c>
      <c r="Q148" s="12" t="s">
        <v>581</v>
      </c>
    </row>
    <row r="149" spans="1:17" ht="25.5" x14ac:dyDescent="0.45">
      <c r="A149" s="3" t="s">
        <v>582</v>
      </c>
      <c r="B149" s="3" t="s">
        <v>187</v>
      </c>
      <c r="C149" s="9">
        <v>48</v>
      </c>
      <c r="D149" s="3" t="s">
        <v>350</v>
      </c>
      <c r="E149" s="10">
        <v>45667.317893518521</v>
      </c>
      <c r="F149" s="10">
        <v>45667.328067129631</v>
      </c>
      <c r="G149" s="10">
        <v>45667.329421296286</v>
      </c>
      <c r="H149" s="3" t="s">
        <v>351</v>
      </c>
      <c r="I149" s="10">
        <v>45667.338460648149</v>
      </c>
      <c r="J149" s="10">
        <v>45667.360682870371</v>
      </c>
      <c r="K149" s="10">
        <v>45667.360682870371</v>
      </c>
      <c r="L149" s="10">
        <v>45667.361377314817</v>
      </c>
      <c r="M149" s="11">
        <f t="shared" si="6"/>
        <v>1.1527777765877545E-2</v>
      </c>
      <c r="N149" s="11">
        <f t="shared" si="7"/>
        <v>3.1956018530763686E-2</v>
      </c>
      <c r="O149" s="10">
        <v>45667.337592592587</v>
      </c>
      <c r="P149" s="11">
        <f t="shared" si="8"/>
        <v>8.6805556202307343E-4</v>
      </c>
      <c r="Q149" s="12" t="s">
        <v>583</v>
      </c>
    </row>
    <row r="150" spans="1:17" ht="25.5" x14ac:dyDescent="0.45">
      <c r="A150" s="3" t="s">
        <v>584</v>
      </c>
      <c r="B150" s="3" t="s">
        <v>188</v>
      </c>
      <c r="C150" s="9">
        <v>32</v>
      </c>
      <c r="D150" s="3" t="s">
        <v>354</v>
      </c>
      <c r="E150" s="10">
        <v>45667.351817129631</v>
      </c>
      <c r="F150" s="10">
        <v>45667.35665509259</v>
      </c>
      <c r="G150" s="10">
        <v>45667.357557870368</v>
      </c>
      <c r="H150" s="3" t="s">
        <v>570</v>
      </c>
      <c r="I150" s="10">
        <v>45667.646562499998</v>
      </c>
      <c r="J150" s="10">
        <v>45667.66878472222</v>
      </c>
      <c r="K150" s="10">
        <v>45667.66878472222</v>
      </c>
      <c r="L150" s="10">
        <v>45667.66951388889</v>
      </c>
      <c r="M150" s="11">
        <f t="shared" si="6"/>
        <v>5.7407407366554253E-3</v>
      </c>
      <c r="N150" s="11">
        <f t="shared" si="7"/>
        <v>0.31195601852232357</v>
      </c>
      <c r="O150" s="10">
        <v>45667.363287037027</v>
      </c>
      <c r="P150" s="11">
        <f t="shared" si="8"/>
        <v>0.28327546297077788</v>
      </c>
      <c r="Q150" s="12" t="s">
        <v>585</v>
      </c>
    </row>
    <row r="151" spans="1:17" ht="25.5" x14ac:dyDescent="0.45">
      <c r="A151" s="3" t="s">
        <v>586</v>
      </c>
      <c r="B151" s="3" t="s">
        <v>188</v>
      </c>
      <c r="C151" s="9">
        <v>64</v>
      </c>
      <c r="D151" s="3" t="s">
        <v>263</v>
      </c>
      <c r="E151" s="10">
        <v>45667.351817129631</v>
      </c>
      <c r="F151" s="10">
        <v>45667.357557870368</v>
      </c>
      <c r="G151" s="10">
        <v>45667.358854166669</v>
      </c>
      <c r="H151" s="3" t="s">
        <v>580</v>
      </c>
      <c r="I151" s="10">
        <v>45667.570462962962</v>
      </c>
      <c r="J151" s="10">
        <v>45667.592685185176</v>
      </c>
      <c r="K151" s="10">
        <v>45667.592685185176</v>
      </c>
      <c r="L151" s="10">
        <v>45667.593518518523</v>
      </c>
      <c r="M151" s="11">
        <f t="shared" si="6"/>
        <v>7.0370370376622304E-3</v>
      </c>
      <c r="N151" s="11">
        <f t="shared" si="7"/>
        <v>0.23466435185400769</v>
      </c>
      <c r="O151" s="10">
        <v>45667.369502314818</v>
      </c>
      <c r="P151" s="11">
        <f t="shared" si="8"/>
        <v>0.20096064814424608</v>
      </c>
      <c r="Q151" s="12" t="s">
        <v>587</v>
      </c>
    </row>
    <row r="152" spans="1:17" ht="25.5" x14ac:dyDescent="0.45">
      <c r="A152" s="3" t="s">
        <v>588</v>
      </c>
      <c r="B152" s="3" t="s">
        <v>189</v>
      </c>
      <c r="C152" s="9">
        <v>64</v>
      </c>
      <c r="D152" s="3" t="s">
        <v>231</v>
      </c>
      <c r="E152" s="10">
        <v>45667.37908564815</v>
      </c>
      <c r="F152" s="10">
        <v>45667.387673611112</v>
      </c>
      <c r="G152" s="10">
        <v>45667.38857638889</v>
      </c>
      <c r="H152" s="3" t="s">
        <v>567</v>
      </c>
      <c r="I152" s="10">
        <v>45667.400069444448</v>
      </c>
      <c r="J152" s="10">
        <v>45667.425069444442</v>
      </c>
      <c r="K152" s="10">
        <v>45667.425069444442</v>
      </c>
      <c r="L152" s="10">
        <v>45667.425868055558</v>
      </c>
      <c r="M152" s="11">
        <f t="shared" si="6"/>
        <v>9.4907407401478849E-3</v>
      </c>
      <c r="N152" s="11">
        <f t="shared" si="7"/>
        <v>3.7291666667442769E-2</v>
      </c>
      <c r="O152" s="10">
        <v>45667.399212962962</v>
      </c>
      <c r="P152" s="11">
        <f t="shared" si="8"/>
        <v>8.5648148524342105E-4</v>
      </c>
      <c r="Q152" s="12" t="s">
        <v>589</v>
      </c>
    </row>
    <row r="153" spans="1:17" ht="25.5" x14ac:dyDescent="0.45">
      <c r="A153" s="3" t="s">
        <v>590</v>
      </c>
      <c r="B153" s="3" t="s">
        <v>189</v>
      </c>
      <c r="C153" s="9">
        <v>64</v>
      </c>
      <c r="D153" s="3" t="s">
        <v>350</v>
      </c>
      <c r="E153" s="10">
        <v>45667.37908564815</v>
      </c>
      <c r="F153" s="10">
        <v>45667.38857638889</v>
      </c>
      <c r="G153" s="10">
        <v>45667.389976851853</v>
      </c>
      <c r="H153" s="3" t="s">
        <v>591</v>
      </c>
      <c r="I153" s="10">
        <v>45668.544629629629</v>
      </c>
      <c r="J153" s="10">
        <v>45668.56962962963</v>
      </c>
      <c r="K153" s="10">
        <v>45668.56962962963</v>
      </c>
      <c r="L153" s="10">
        <v>45668.5703587963</v>
      </c>
      <c r="M153" s="11">
        <f t="shared" si="6"/>
        <v>1.0891203703067731E-2</v>
      </c>
      <c r="N153" s="11">
        <f t="shared" si="7"/>
        <v>1.1803819444467081</v>
      </c>
      <c r="O153" s="10">
        <v>45667.397337962961</v>
      </c>
      <c r="P153" s="11">
        <f t="shared" si="8"/>
        <v>1.1472916666680248</v>
      </c>
      <c r="Q153" s="12" t="s">
        <v>592</v>
      </c>
    </row>
    <row r="154" spans="1:17" ht="25.5" x14ac:dyDescent="0.45">
      <c r="A154" s="3" t="s">
        <v>593</v>
      </c>
      <c r="B154" s="3" t="s">
        <v>189</v>
      </c>
      <c r="C154" s="9">
        <v>48</v>
      </c>
      <c r="D154" s="3" t="s">
        <v>231</v>
      </c>
      <c r="E154" s="10">
        <v>45667.37908564815</v>
      </c>
      <c r="F154" s="10">
        <v>45667.389976851853</v>
      </c>
      <c r="G154" s="10">
        <v>45667.391365740739</v>
      </c>
      <c r="H154" s="3" t="s">
        <v>594</v>
      </c>
      <c r="I154" s="10">
        <v>45667.591990740737</v>
      </c>
      <c r="J154" s="10">
        <v>45667.614212962973</v>
      </c>
      <c r="K154" s="10">
        <v>45667.614212962973</v>
      </c>
      <c r="L154" s="10">
        <v>45667.615057870367</v>
      </c>
      <c r="M154" s="11">
        <f t="shared" si="6"/>
        <v>1.2280092589207925E-2</v>
      </c>
      <c r="N154" s="11">
        <f t="shared" si="7"/>
        <v>0.22369212962803431</v>
      </c>
      <c r="O154" s="10">
        <v>45667.397118055553</v>
      </c>
      <c r="P154" s="11">
        <f t="shared" si="8"/>
        <v>0.19487268518423662</v>
      </c>
      <c r="Q154" s="12" t="s">
        <v>595</v>
      </c>
    </row>
    <row r="155" spans="1:17" ht="25.5" x14ac:dyDescent="0.45">
      <c r="A155" s="3" t="s">
        <v>596</v>
      </c>
      <c r="B155" s="3" t="s">
        <v>191</v>
      </c>
      <c r="C155" s="9">
        <v>48</v>
      </c>
      <c r="D155" s="3" t="s">
        <v>247</v>
      </c>
      <c r="E155" s="10">
        <v>45667.543379629627</v>
      </c>
      <c r="F155" s="10">
        <v>45667.553032407413</v>
      </c>
      <c r="G155" s="10">
        <v>45667.554062499999</v>
      </c>
      <c r="H155" s="3" t="s">
        <v>597</v>
      </c>
      <c r="I155" s="10">
        <v>45667.568067129629</v>
      </c>
      <c r="J155" s="10">
        <v>45667.590289351851</v>
      </c>
      <c r="K155" s="10">
        <v>45667.590289351851</v>
      </c>
      <c r="L155" s="10">
        <v>45667.591053240743</v>
      </c>
      <c r="M155" s="11">
        <f t="shared" si="6"/>
        <v>1.0682870371965691E-2</v>
      </c>
      <c r="N155" s="11">
        <f t="shared" si="7"/>
        <v>3.6990740743931383E-2</v>
      </c>
      <c r="O155" s="10">
        <v>45667.559791666667</v>
      </c>
      <c r="P155" s="11">
        <f t="shared" si="8"/>
        <v>8.2754629620467313E-3</v>
      </c>
      <c r="Q155" s="12" t="s">
        <v>598</v>
      </c>
    </row>
    <row r="156" spans="1:17" ht="25.5" x14ac:dyDescent="0.45">
      <c r="A156" s="3" t="s">
        <v>599</v>
      </c>
      <c r="B156" s="3" t="s">
        <v>191</v>
      </c>
      <c r="C156" s="9">
        <v>48</v>
      </c>
      <c r="D156" s="3" t="s">
        <v>247</v>
      </c>
      <c r="E156" s="10">
        <v>45667.543379629627</v>
      </c>
      <c r="F156" s="10">
        <v>45667.553032407413</v>
      </c>
      <c r="G156" s="10">
        <v>45667.554062499999</v>
      </c>
      <c r="H156" s="3" t="s">
        <v>597</v>
      </c>
      <c r="I156" s="10">
        <v>45667.568067129629</v>
      </c>
      <c r="J156" s="10">
        <v>45667.590289351851</v>
      </c>
      <c r="K156" s="10">
        <v>45667.590289351851</v>
      </c>
      <c r="L156" s="10">
        <v>45667.591053240743</v>
      </c>
      <c r="M156" s="11">
        <f t="shared" si="6"/>
        <v>1.0682870371965691E-2</v>
      </c>
      <c r="N156" s="11">
        <f t="shared" si="7"/>
        <v>3.6990740743931383E-2</v>
      </c>
      <c r="O156" s="10">
        <v>45667.563078703701</v>
      </c>
      <c r="P156" s="11">
        <f t="shared" si="8"/>
        <v>4.9884259278769605E-3</v>
      </c>
      <c r="Q156" s="12" t="s">
        <v>600</v>
      </c>
    </row>
    <row r="157" spans="1:17" ht="25.5" x14ac:dyDescent="0.45">
      <c r="A157" s="3" t="s">
        <v>601</v>
      </c>
      <c r="B157" s="3" t="s">
        <v>191</v>
      </c>
      <c r="C157" s="9">
        <v>32</v>
      </c>
      <c r="D157" s="3" t="s">
        <v>247</v>
      </c>
      <c r="E157" s="10">
        <v>45667.543379629627</v>
      </c>
      <c r="F157" s="10">
        <v>45667.553032407413</v>
      </c>
      <c r="G157" s="10">
        <v>45667.554062499999</v>
      </c>
      <c r="H157" s="3" t="s">
        <v>597</v>
      </c>
      <c r="I157" s="10">
        <v>45667.568067129629</v>
      </c>
      <c r="J157" s="10">
        <v>45667.590289351851</v>
      </c>
      <c r="K157" s="10">
        <v>45667.590289351851</v>
      </c>
      <c r="L157" s="10">
        <v>45667.591053240743</v>
      </c>
      <c r="M157" s="11">
        <f t="shared" si="6"/>
        <v>1.0682870371965691E-2</v>
      </c>
      <c r="N157" s="11">
        <f t="shared" si="7"/>
        <v>3.6990740743931383E-2</v>
      </c>
      <c r="O157" s="10">
        <v>45667.56150462963</v>
      </c>
      <c r="P157" s="11">
        <f t="shared" si="8"/>
        <v>6.5624999988358468E-3</v>
      </c>
      <c r="Q157" s="12" t="s">
        <v>602</v>
      </c>
    </row>
    <row r="158" spans="1:17" ht="25.5" x14ac:dyDescent="0.45">
      <c r="A158" s="3" t="s">
        <v>603</v>
      </c>
      <c r="B158" s="3" t="s">
        <v>191</v>
      </c>
      <c r="C158" s="9">
        <v>80</v>
      </c>
      <c r="D158" s="3" t="s">
        <v>237</v>
      </c>
      <c r="E158" s="10">
        <v>45667.543379629627</v>
      </c>
      <c r="F158" s="10">
        <v>45667.554062499999</v>
      </c>
      <c r="G158" s="10">
        <v>45667.555555555547</v>
      </c>
      <c r="H158" s="3" t="s">
        <v>552</v>
      </c>
      <c r="I158" s="10">
        <v>45667.575150462973</v>
      </c>
      <c r="J158" s="10">
        <v>45667.605706018519</v>
      </c>
      <c r="K158" s="10">
        <v>45667.605706018519</v>
      </c>
      <c r="L158" s="10">
        <v>45667.606608796297</v>
      </c>
      <c r="M158" s="11">
        <f t="shared" si="6"/>
        <v>1.2175925920018926E-2</v>
      </c>
      <c r="N158" s="11">
        <f t="shared" si="7"/>
        <v>5.1053240749752149E-2</v>
      </c>
      <c r="O158" s="10">
        <v>45667.568645833337</v>
      </c>
      <c r="P158" s="11">
        <f t="shared" si="8"/>
        <v>6.5046296367654577E-3</v>
      </c>
      <c r="Q158" s="12" t="s">
        <v>604</v>
      </c>
    </row>
    <row r="159" spans="1:17" ht="25.5" x14ac:dyDescent="0.45">
      <c r="A159" s="3" t="s">
        <v>605</v>
      </c>
      <c r="B159" s="3" t="s">
        <v>191</v>
      </c>
      <c r="C159" s="9">
        <v>32</v>
      </c>
      <c r="D159" s="3" t="s">
        <v>247</v>
      </c>
      <c r="E159" s="10">
        <v>45667.543379629627</v>
      </c>
      <c r="F159" s="10">
        <v>45667.555555555547</v>
      </c>
      <c r="G159" s="10">
        <v>45667.556655092587</v>
      </c>
      <c r="H159" s="3" t="s">
        <v>606</v>
      </c>
      <c r="I159" s="10">
        <v>45667.706412037027</v>
      </c>
      <c r="J159" s="10">
        <v>45667.736967592587</v>
      </c>
      <c r="K159" s="10">
        <v>45667.736967592587</v>
      </c>
      <c r="L159" s="10">
        <v>45667.737962962958</v>
      </c>
      <c r="M159" s="11">
        <f t="shared" si="6"/>
        <v>1.3275462959427387E-2</v>
      </c>
      <c r="N159" s="11">
        <f t="shared" si="7"/>
        <v>0.18130787037080154</v>
      </c>
      <c r="O159" s="10">
        <v>45667.560393518521</v>
      </c>
      <c r="P159" s="11">
        <f t="shared" si="8"/>
        <v>0.14601851850602543</v>
      </c>
      <c r="Q159" s="12" t="s">
        <v>607</v>
      </c>
    </row>
    <row r="160" spans="1:17" ht="25.5" x14ac:dyDescent="0.45">
      <c r="A160" s="3" t="s">
        <v>608</v>
      </c>
      <c r="B160" s="3" t="s">
        <v>190</v>
      </c>
      <c r="C160" s="9">
        <v>32</v>
      </c>
      <c r="D160" s="3" t="s">
        <v>231</v>
      </c>
      <c r="E160" s="10">
        <v>45667.543773148151</v>
      </c>
      <c r="F160" s="10">
        <v>45667.55741898148</v>
      </c>
      <c r="G160" s="10">
        <v>45667.55877314815</v>
      </c>
      <c r="H160" s="3" t="s">
        <v>594</v>
      </c>
      <c r="I160" s="10">
        <v>45667.591990740737</v>
      </c>
      <c r="J160" s="10">
        <v>45667.614212962973</v>
      </c>
      <c r="K160" s="10">
        <v>45667.614212962973</v>
      </c>
      <c r="L160" s="10">
        <v>45667.615057870367</v>
      </c>
      <c r="M160" s="11">
        <f t="shared" si="6"/>
        <v>1.4999999999417923E-2</v>
      </c>
      <c r="N160" s="11">
        <f t="shared" si="7"/>
        <v>5.6284722217242233E-2</v>
      </c>
      <c r="O160" s="10">
        <v>45667.564004629632</v>
      </c>
      <c r="P160" s="11">
        <f t="shared" si="8"/>
        <v>2.7986111104837619E-2</v>
      </c>
      <c r="Q160" s="12" t="s">
        <v>609</v>
      </c>
    </row>
    <row r="161" spans="1:17" ht="25.5" x14ac:dyDescent="0.45">
      <c r="A161" s="3" t="s">
        <v>610</v>
      </c>
      <c r="B161" s="3" t="s">
        <v>190</v>
      </c>
      <c r="C161" s="9">
        <v>32</v>
      </c>
      <c r="D161" s="3" t="s">
        <v>263</v>
      </c>
      <c r="E161" s="10">
        <v>45667.543773148151</v>
      </c>
      <c r="F161" s="10">
        <v>45667.55877314815</v>
      </c>
      <c r="G161" s="10">
        <v>45667.559988425928</v>
      </c>
      <c r="H161" s="3" t="s">
        <v>580</v>
      </c>
      <c r="I161" s="10">
        <v>45667.570462962962</v>
      </c>
      <c r="J161" s="10">
        <v>45667.592685185176</v>
      </c>
      <c r="K161" s="10">
        <v>45667.592685185176</v>
      </c>
      <c r="L161" s="10">
        <v>45667.593518518523</v>
      </c>
      <c r="M161" s="11">
        <f t="shared" si="6"/>
        <v>1.6215277777519077E-2</v>
      </c>
      <c r="N161" s="11">
        <f t="shared" si="7"/>
        <v>3.3530092594446614E-2</v>
      </c>
      <c r="O161" s="10">
        <v>45667.566377314812</v>
      </c>
      <c r="P161" s="11">
        <f t="shared" si="8"/>
        <v>4.0856481500668451E-3</v>
      </c>
      <c r="Q161" s="12" t="s">
        <v>611</v>
      </c>
    </row>
    <row r="162" spans="1:17" ht="25.5" x14ac:dyDescent="0.45">
      <c r="A162" s="3" t="s">
        <v>612</v>
      </c>
      <c r="B162" s="3" t="s">
        <v>190</v>
      </c>
      <c r="C162" s="9">
        <v>48</v>
      </c>
      <c r="D162" s="3" t="s">
        <v>231</v>
      </c>
      <c r="E162" s="10">
        <v>45667.543773148151</v>
      </c>
      <c r="F162" s="10">
        <v>45667.559988425928</v>
      </c>
      <c r="G162" s="10">
        <v>45667.561377314807</v>
      </c>
      <c r="H162" s="3" t="s">
        <v>594</v>
      </c>
      <c r="I162" s="10">
        <v>45667.591990740737</v>
      </c>
      <c r="J162" s="10">
        <v>45667.614212962973</v>
      </c>
      <c r="K162" s="10">
        <v>45667.614212962973</v>
      </c>
      <c r="L162" s="10">
        <v>45667.615057870367</v>
      </c>
      <c r="M162" s="11">
        <f t="shared" si="6"/>
        <v>1.7604166656383313E-2</v>
      </c>
      <c r="N162" s="11">
        <f t="shared" si="7"/>
        <v>5.3680555560276844E-2</v>
      </c>
      <c r="O162" s="10">
        <v>45667.568819444437</v>
      </c>
      <c r="P162" s="11">
        <f t="shared" si="8"/>
        <v>2.3171296299551614E-2</v>
      </c>
      <c r="Q162" s="12" t="s">
        <v>613</v>
      </c>
    </row>
    <row r="163" spans="1:17" ht="25.5" x14ac:dyDescent="0.45">
      <c r="A163" s="3" t="s">
        <v>614</v>
      </c>
      <c r="B163" s="3" t="s">
        <v>190</v>
      </c>
      <c r="C163" s="9">
        <v>64</v>
      </c>
      <c r="D163" s="3" t="s">
        <v>283</v>
      </c>
      <c r="E163" s="10">
        <v>45667.543773148151</v>
      </c>
      <c r="F163" s="10">
        <v>45667.561377314807</v>
      </c>
      <c r="G163" s="10">
        <v>45667.5627662037</v>
      </c>
      <c r="H163" s="3" t="s">
        <v>577</v>
      </c>
      <c r="I163" s="10">
        <v>45667.594421296293</v>
      </c>
      <c r="J163" s="10">
        <v>45667.624976851846</v>
      </c>
      <c r="K163" s="10">
        <v>45667.624976851846</v>
      </c>
      <c r="L163" s="10">
        <v>45667.625972222217</v>
      </c>
      <c r="M163" s="11">
        <f t="shared" si="6"/>
        <v>1.8993055549799465E-2</v>
      </c>
      <c r="N163" s="11">
        <f t="shared" si="7"/>
        <v>6.320601851621177E-2</v>
      </c>
      <c r="O163" s="10">
        <v>45667.573414351849</v>
      </c>
      <c r="P163" s="11">
        <f t="shared" si="8"/>
        <v>2.1006944443797693E-2</v>
      </c>
      <c r="Q163" s="12" t="s">
        <v>615</v>
      </c>
    </row>
    <row r="164" spans="1:17" ht="25.5" x14ac:dyDescent="0.45">
      <c r="A164" s="3" t="s">
        <v>616</v>
      </c>
      <c r="B164" s="3" t="s">
        <v>190</v>
      </c>
      <c r="C164" s="9">
        <v>48</v>
      </c>
      <c r="D164" s="3" t="s">
        <v>283</v>
      </c>
      <c r="E164" s="10">
        <v>45667.543773148151</v>
      </c>
      <c r="F164" s="10">
        <v>45667.561377314807</v>
      </c>
      <c r="G164" s="10">
        <v>45667.5627662037</v>
      </c>
      <c r="H164" s="3" t="s">
        <v>577</v>
      </c>
      <c r="I164" s="10">
        <v>45667.594421296293</v>
      </c>
      <c r="J164" s="10">
        <v>45667.624976851846</v>
      </c>
      <c r="K164" s="10">
        <v>45667.624976851846</v>
      </c>
      <c r="L164" s="10">
        <v>45667.625972222217</v>
      </c>
      <c r="M164" s="11">
        <f t="shared" si="6"/>
        <v>1.8993055549799465E-2</v>
      </c>
      <c r="N164" s="11">
        <f t="shared" si="7"/>
        <v>6.320601851621177E-2</v>
      </c>
      <c r="O164" s="10">
        <v>45667.572083333333</v>
      </c>
      <c r="P164" s="11">
        <f t="shared" si="8"/>
        <v>2.233796296059154E-2</v>
      </c>
      <c r="Q164" s="12" t="s">
        <v>617</v>
      </c>
    </row>
    <row r="165" spans="1:17" ht="25.5" x14ac:dyDescent="0.45">
      <c r="A165" s="3" t="s">
        <v>618</v>
      </c>
      <c r="B165" s="3" t="s">
        <v>192</v>
      </c>
      <c r="C165" s="9">
        <v>32</v>
      </c>
      <c r="D165" s="3" t="s">
        <v>237</v>
      </c>
      <c r="E165" s="10">
        <v>45667.627071759263</v>
      </c>
      <c r="F165" s="10">
        <v>45667.636493055557</v>
      </c>
      <c r="G165" s="10">
        <v>45667.637314814812</v>
      </c>
      <c r="H165" s="3" t="s">
        <v>619</v>
      </c>
      <c r="I165" s="10">
        <v>45668.277800925927</v>
      </c>
      <c r="J165" s="10">
        <v>45668.29724537037</v>
      </c>
      <c r="K165" s="10">
        <v>45668.29724537037</v>
      </c>
      <c r="L165" s="10">
        <v>45668.297962962963</v>
      </c>
      <c r="M165" s="11">
        <f t="shared" si="6"/>
        <v>1.024305554892635E-2</v>
      </c>
      <c r="N165" s="11">
        <f t="shared" si="7"/>
        <v>0.66064814815035788</v>
      </c>
      <c r="O165" s="10">
        <v>45667.641446759262</v>
      </c>
      <c r="P165" s="11">
        <f t="shared" si="8"/>
        <v>0.63635416666511446</v>
      </c>
      <c r="Q165" s="12" t="s">
        <v>620</v>
      </c>
    </row>
    <row r="166" spans="1:17" ht="25.5" x14ac:dyDescent="0.45">
      <c r="A166" s="3" t="s">
        <v>621</v>
      </c>
      <c r="B166" s="3" t="s">
        <v>192</v>
      </c>
      <c r="C166" s="9">
        <v>48</v>
      </c>
      <c r="D166" s="3" t="s">
        <v>354</v>
      </c>
      <c r="E166" s="10">
        <v>45667.627071759263</v>
      </c>
      <c r="F166" s="10">
        <v>45667.637314814812</v>
      </c>
      <c r="G166" s="10">
        <v>45667.638252314813</v>
      </c>
      <c r="H166" s="3" t="s">
        <v>570</v>
      </c>
      <c r="I166" s="10">
        <v>45667.646562499998</v>
      </c>
      <c r="J166" s="10">
        <v>45667.66878472222</v>
      </c>
      <c r="K166" s="10">
        <v>45667.66878472222</v>
      </c>
      <c r="L166" s="10">
        <v>45667.66951388889</v>
      </c>
      <c r="M166" s="11">
        <f t="shared" si="6"/>
        <v>1.1180555549799465E-2</v>
      </c>
      <c r="N166" s="11">
        <f t="shared" si="7"/>
        <v>3.1261574076779652E-2</v>
      </c>
      <c r="O166" s="10">
        <v>45667.645694444444</v>
      </c>
      <c r="P166" s="11">
        <f t="shared" si="8"/>
        <v>8.6805555474711582E-4</v>
      </c>
      <c r="Q166" s="12" t="s">
        <v>622</v>
      </c>
    </row>
    <row r="167" spans="1:17" ht="25.5" x14ac:dyDescent="0.45">
      <c r="A167" s="3" t="s">
        <v>623</v>
      </c>
      <c r="B167" s="3" t="s">
        <v>192</v>
      </c>
      <c r="C167" s="9">
        <v>48</v>
      </c>
      <c r="D167" s="3" t="s">
        <v>231</v>
      </c>
      <c r="E167" s="10">
        <v>45667.627071759263</v>
      </c>
      <c r="F167" s="10">
        <v>45667.638252314813</v>
      </c>
      <c r="G167" s="10">
        <v>45667.639884259261</v>
      </c>
      <c r="H167" s="3" t="s">
        <v>624</v>
      </c>
      <c r="I167" s="10">
        <v>45667.65347222222</v>
      </c>
      <c r="J167" s="10">
        <v>45667.675694444442</v>
      </c>
      <c r="K167" s="10">
        <v>45667.675694444442</v>
      </c>
      <c r="L167" s="10">
        <v>45667.676493055558</v>
      </c>
      <c r="M167" s="11">
        <f t="shared" si="6"/>
        <v>1.2812499997380655E-2</v>
      </c>
      <c r="N167" s="11">
        <f t="shared" si="7"/>
        <v>3.6608796297514345E-2</v>
      </c>
      <c r="O167" s="10">
        <v>45667.645613425928</v>
      </c>
      <c r="P167" s="11">
        <f t="shared" si="8"/>
        <v>7.8587962925666943E-3</v>
      </c>
      <c r="Q167" s="12" t="s">
        <v>625</v>
      </c>
    </row>
    <row r="168" spans="1:17" ht="25.5" x14ac:dyDescent="0.45">
      <c r="A168" s="3" t="s">
        <v>626</v>
      </c>
      <c r="B168" s="3" t="s">
        <v>192</v>
      </c>
      <c r="C168" s="9">
        <v>80</v>
      </c>
      <c r="D168" s="3" t="s">
        <v>231</v>
      </c>
      <c r="E168" s="10">
        <v>45667.627071759263</v>
      </c>
      <c r="F168" s="10">
        <v>45667.638252314813</v>
      </c>
      <c r="G168" s="10">
        <v>45667.639884259261</v>
      </c>
      <c r="H168" s="3" t="s">
        <v>624</v>
      </c>
      <c r="I168" s="10">
        <v>45667.65347222222</v>
      </c>
      <c r="J168" s="10">
        <v>45667.675694444442</v>
      </c>
      <c r="K168" s="10">
        <v>45667.675694444442</v>
      </c>
      <c r="L168" s="10">
        <v>45667.676493055558</v>
      </c>
      <c r="M168" s="11">
        <f t="shared" si="6"/>
        <v>1.2812499997380655E-2</v>
      </c>
      <c r="N168" s="11">
        <f t="shared" si="7"/>
        <v>3.6608796297514345E-2</v>
      </c>
      <c r="O168" s="10">
        <v>45667.652627314812</v>
      </c>
      <c r="P168" s="11">
        <f t="shared" si="8"/>
        <v>8.4490740846376866E-4</v>
      </c>
      <c r="Q168" s="12" t="s">
        <v>627</v>
      </c>
    </row>
    <row r="169" spans="1:17" ht="25.5" x14ac:dyDescent="0.45">
      <c r="A169" s="3" t="s">
        <v>628</v>
      </c>
      <c r="B169" s="3" t="s">
        <v>193</v>
      </c>
      <c r="C169" s="9">
        <v>32</v>
      </c>
      <c r="D169" s="3" t="s">
        <v>263</v>
      </c>
      <c r="E169" s="10">
        <v>45667.655428240738</v>
      </c>
      <c r="F169" s="10">
        <v>45667.661226851851</v>
      </c>
      <c r="G169" s="10">
        <v>45667.662719907406</v>
      </c>
      <c r="H169" s="3" t="s">
        <v>629</v>
      </c>
      <c r="I169" s="10">
        <v>45667.677812499998</v>
      </c>
      <c r="J169" s="10">
        <v>45667.705590277779</v>
      </c>
      <c r="K169" s="10">
        <v>45667.705590277779</v>
      </c>
      <c r="L169" s="10">
        <v>45667.706550925926</v>
      </c>
      <c r="M169" s="11">
        <f t="shared" si="6"/>
        <v>7.291666668606922E-3</v>
      </c>
      <c r="N169" s="11">
        <f t="shared" si="7"/>
        <v>4.3831018519995268E-2</v>
      </c>
      <c r="O169" s="10">
        <v>45667.666481481479</v>
      </c>
      <c r="P169" s="11">
        <f t="shared" si="8"/>
        <v>1.1331018518831115E-2</v>
      </c>
      <c r="Q169" s="12" t="s">
        <v>630</v>
      </c>
    </row>
    <row r="170" spans="1:17" ht="25.5" x14ac:dyDescent="0.45">
      <c r="A170" s="3" t="s">
        <v>631</v>
      </c>
      <c r="B170" s="3" t="s">
        <v>193</v>
      </c>
      <c r="C170" s="9">
        <v>64</v>
      </c>
      <c r="D170" s="3" t="s">
        <v>263</v>
      </c>
      <c r="E170" s="10">
        <v>45667.655428240738</v>
      </c>
      <c r="F170" s="10">
        <v>45667.661226851851</v>
      </c>
      <c r="G170" s="10">
        <v>45667.662719907406</v>
      </c>
      <c r="H170" s="3" t="s">
        <v>629</v>
      </c>
      <c r="I170" s="10">
        <v>45667.677812499998</v>
      </c>
      <c r="J170" s="10">
        <v>45667.705590277779</v>
      </c>
      <c r="K170" s="10">
        <v>45667.705590277779</v>
      </c>
      <c r="L170" s="10">
        <v>45667.706550925926</v>
      </c>
      <c r="M170" s="11">
        <f t="shared" si="6"/>
        <v>7.291666668606922E-3</v>
      </c>
      <c r="N170" s="11">
        <f t="shared" si="7"/>
        <v>4.3831018519995268E-2</v>
      </c>
      <c r="O170" s="10">
        <v>45667.674131944441</v>
      </c>
      <c r="P170" s="11">
        <f t="shared" si="8"/>
        <v>3.6805555573664606E-3</v>
      </c>
      <c r="Q170" s="12" t="s">
        <v>632</v>
      </c>
    </row>
    <row r="171" spans="1:17" ht="25.5" x14ac:dyDescent="0.45">
      <c r="A171" s="3" t="s">
        <v>633</v>
      </c>
      <c r="B171" s="3" t="s">
        <v>193</v>
      </c>
      <c r="C171" s="9">
        <v>64</v>
      </c>
      <c r="D171" s="3" t="s">
        <v>263</v>
      </c>
      <c r="E171" s="10">
        <v>45667.655428240738</v>
      </c>
      <c r="F171" s="10">
        <v>45667.661226851851</v>
      </c>
      <c r="G171" s="10">
        <v>45667.662719907406</v>
      </c>
      <c r="H171" s="3" t="s">
        <v>629</v>
      </c>
      <c r="I171" s="10">
        <v>45667.677812499998</v>
      </c>
      <c r="J171" s="10">
        <v>45667.705590277779</v>
      </c>
      <c r="K171" s="10">
        <v>45667.705590277779</v>
      </c>
      <c r="L171" s="10">
        <v>45667.706550925926</v>
      </c>
      <c r="M171" s="11">
        <f t="shared" si="6"/>
        <v>7.291666668606922E-3</v>
      </c>
      <c r="N171" s="11">
        <f t="shared" si="7"/>
        <v>4.3831018519995268E-2</v>
      </c>
      <c r="O171" s="10">
        <v>45667.676944444444</v>
      </c>
      <c r="P171" s="11">
        <f t="shared" si="8"/>
        <v>8.6805555474711582E-4</v>
      </c>
      <c r="Q171" s="12" t="s">
        <v>634</v>
      </c>
    </row>
    <row r="172" spans="1:17" ht="25.5" x14ac:dyDescent="0.45">
      <c r="A172" s="3" t="s">
        <v>635</v>
      </c>
      <c r="B172" s="3" t="s">
        <v>194</v>
      </c>
      <c r="C172" s="9">
        <v>64</v>
      </c>
      <c r="D172" s="3" t="s">
        <v>247</v>
      </c>
      <c r="E172" s="10">
        <v>45667.677800925929</v>
      </c>
      <c r="F172" s="10">
        <v>45667.687881944446</v>
      </c>
      <c r="G172" s="10">
        <v>45667.689074074071</v>
      </c>
      <c r="H172" s="3" t="s">
        <v>606</v>
      </c>
      <c r="I172" s="10">
        <v>45667.706412037027</v>
      </c>
      <c r="J172" s="10">
        <v>45667.736967592587</v>
      </c>
      <c r="K172" s="10">
        <v>45667.736967592587</v>
      </c>
      <c r="L172" s="10">
        <v>45667.737962962958</v>
      </c>
      <c r="M172" s="11">
        <f t="shared" si="6"/>
        <v>1.1273148142208811E-2</v>
      </c>
      <c r="N172" s="11">
        <f t="shared" si="7"/>
        <v>4.888888888672227E-2</v>
      </c>
      <c r="O172" s="10">
        <v>45667.698761574073</v>
      </c>
      <c r="P172" s="11">
        <f t="shared" si="8"/>
        <v>7.650462954188697E-3</v>
      </c>
      <c r="Q172" s="12" t="s">
        <v>636</v>
      </c>
    </row>
    <row r="173" spans="1:17" ht="25.5" x14ac:dyDescent="0.45">
      <c r="A173" s="3" t="s">
        <v>637</v>
      </c>
      <c r="B173" s="3" t="s">
        <v>194</v>
      </c>
      <c r="C173" s="9">
        <v>80</v>
      </c>
      <c r="D173" s="3" t="s">
        <v>255</v>
      </c>
      <c r="E173" s="10">
        <v>45667.677800925929</v>
      </c>
      <c r="F173" s="10">
        <v>45667.689074074071</v>
      </c>
      <c r="G173" s="10">
        <v>45667.690393518518</v>
      </c>
      <c r="H173" s="3" t="s">
        <v>478</v>
      </c>
      <c r="I173" s="10">
        <v>45667.704270833332</v>
      </c>
      <c r="J173" s="10">
        <v>45667.732048611113</v>
      </c>
      <c r="K173" s="10">
        <v>45667.732048611113</v>
      </c>
      <c r="L173" s="10">
        <v>45667.732928240737</v>
      </c>
      <c r="M173" s="11">
        <f t="shared" si="6"/>
        <v>1.2592592589498963E-2</v>
      </c>
      <c r="N173" s="11">
        <f t="shared" si="7"/>
        <v>4.2534722218988463E-2</v>
      </c>
      <c r="O173" s="10">
        <v>45667.703483796293</v>
      </c>
      <c r="P173" s="11">
        <f t="shared" si="8"/>
        <v>7.8703703911742195E-4</v>
      </c>
      <c r="Q173" s="12" t="s">
        <v>638</v>
      </c>
    </row>
    <row r="174" spans="1:17" ht="25.5" x14ac:dyDescent="0.45">
      <c r="A174" s="3" t="s">
        <v>639</v>
      </c>
      <c r="B174" s="3" t="s">
        <v>194</v>
      </c>
      <c r="C174" s="9">
        <v>80</v>
      </c>
      <c r="D174" s="3" t="s">
        <v>247</v>
      </c>
      <c r="E174" s="10">
        <v>45667.677800925929</v>
      </c>
      <c r="F174" s="10">
        <v>45667.690393518518</v>
      </c>
      <c r="G174" s="10">
        <v>45667.691620370373</v>
      </c>
      <c r="H174" s="3" t="s">
        <v>606</v>
      </c>
      <c r="I174" s="10">
        <v>45667.706412037027</v>
      </c>
      <c r="J174" s="10">
        <v>45667.736967592587</v>
      </c>
      <c r="K174" s="10">
        <v>45667.736967592587</v>
      </c>
      <c r="L174" s="10">
        <v>45667.737962962958</v>
      </c>
      <c r="M174" s="11">
        <f t="shared" si="6"/>
        <v>1.3819444444379769E-2</v>
      </c>
      <c r="N174" s="11">
        <f t="shared" si="7"/>
        <v>4.6342592584551312E-2</v>
      </c>
      <c r="O174" s="10">
        <v>45667.704699074071</v>
      </c>
      <c r="P174" s="11">
        <f t="shared" si="8"/>
        <v>1.7129629559349269E-3</v>
      </c>
      <c r="Q174" s="12" t="s">
        <v>640</v>
      </c>
    </row>
    <row r="175" spans="1:17" ht="25.5" x14ac:dyDescent="0.45">
      <c r="A175" s="3" t="s">
        <v>641</v>
      </c>
      <c r="B175" s="3" t="s">
        <v>195</v>
      </c>
      <c r="C175" s="9">
        <v>48</v>
      </c>
      <c r="D175" s="3" t="s">
        <v>354</v>
      </c>
      <c r="E175" s="10">
        <v>45667.706053240741</v>
      </c>
      <c r="F175" s="10">
        <v>45667.71303240741</v>
      </c>
      <c r="G175" s="10">
        <v>45667.713969907411</v>
      </c>
      <c r="H175" s="3" t="s">
        <v>642</v>
      </c>
      <c r="I175" s="10">
        <v>45668.516018518523</v>
      </c>
      <c r="J175" s="10">
        <v>45668.538240740738</v>
      </c>
      <c r="K175" s="10">
        <v>45668.538240740738</v>
      </c>
      <c r="L175" s="10">
        <v>45668.538958333331</v>
      </c>
      <c r="M175" s="11">
        <f t="shared" si="6"/>
        <v>7.9166666691889986E-3</v>
      </c>
      <c r="N175" s="11">
        <f t="shared" si="7"/>
        <v>0.82498842592030996</v>
      </c>
      <c r="O175" s="10">
        <v>45667.719722222217</v>
      </c>
      <c r="P175" s="11">
        <f t="shared" si="8"/>
        <v>0.79629629630653653</v>
      </c>
      <c r="Q175" s="12" t="s">
        <v>643</v>
      </c>
    </row>
    <row r="176" spans="1:17" ht="25.5" x14ac:dyDescent="0.45">
      <c r="A176" s="3" t="s">
        <v>644</v>
      </c>
      <c r="B176" s="3" t="s">
        <v>195</v>
      </c>
      <c r="C176" s="9">
        <v>32</v>
      </c>
      <c r="D176" s="3" t="s">
        <v>237</v>
      </c>
      <c r="E176" s="10">
        <v>45667.706053240741</v>
      </c>
      <c r="F176" s="10">
        <v>45667.713969907411</v>
      </c>
      <c r="G176" s="10">
        <v>45667.714791666673</v>
      </c>
      <c r="H176" s="3" t="s">
        <v>619</v>
      </c>
      <c r="I176" s="10">
        <v>45668.277800925927</v>
      </c>
      <c r="J176" s="10">
        <v>45668.29724537037</v>
      </c>
      <c r="K176" s="10">
        <v>45668.29724537037</v>
      </c>
      <c r="L176" s="10">
        <v>45668.297962962963</v>
      </c>
      <c r="M176" s="11">
        <f t="shared" si="6"/>
        <v>8.7384259313694201E-3</v>
      </c>
      <c r="N176" s="11">
        <f t="shared" si="7"/>
        <v>0.58317129628994735</v>
      </c>
      <c r="O176" s="10">
        <v>45667.720520833333</v>
      </c>
      <c r="P176" s="11">
        <f t="shared" si="8"/>
        <v>0.55728009259473765</v>
      </c>
      <c r="Q176" s="12" t="s">
        <v>645</v>
      </c>
    </row>
    <row r="177" spans="1:17" ht="25.5" x14ac:dyDescent="0.45">
      <c r="A177" s="3" t="s">
        <v>646</v>
      </c>
      <c r="B177" s="3" t="s">
        <v>195</v>
      </c>
      <c r="C177" s="9">
        <v>48</v>
      </c>
      <c r="D177" s="3" t="s">
        <v>354</v>
      </c>
      <c r="E177" s="10">
        <v>45667.706053240741</v>
      </c>
      <c r="F177" s="10">
        <v>45667.714791666673</v>
      </c>
      <c r="G177" s="10">
        <v>45667.715729166674</v>
      </c>
      <c r="H177" s="3" t="s">
        <v>642</v>
      </c>
      <c r="I177" s="10">
        <v>45668.516018518523</v>
      </c>
      <c r="J177" s="10">
        <v>45668.538240740738</v>
      </c>
      <c r="K177" s="10">
        <v>45668.538240740738</v>
      </c>
      <c r="L177" s="10">
        <v>45668.538958333331</v>
      </c>
      <c r="M177" s="11">
        <f t="shared" si="6"/>
        <v>9.6759259322425351E-3</v>
      </c>
      <c r="N177" s="11">
        <f t="shared" si="7"/>
        <v>0.82322916665725643</v>
      </c>
      <c r="O177" s="10">
        <v>45667.728796296287</v>
      </c>
      <c r="P177" s="11">
        <f t="shared" si="8"/>
        <v>0.78722222223586868</v>
      </c>
      <c r="Q177" s="12" t="s">
        <v>647</v>
      </c>
    </row>
    <row r="178" spans="1:17" ht="25.5" x14ac:dyDescent="0.45">
      <c r="A178" s="3" t="s">
        <v>648</v>
      </c>
      <c r="B178" s="3" t="s">
        <v>196</v>
      </c>
      <c r="C178" s="9">
        <v>48</v>
      </c>
      <c r="D178" s="3" t="s">
        <v>263</v>
      </c>
      <c r="E178" s="10">
        <v>45667.83525462963</v>
      </c>
      <c r="F178" s="10">
        <v>45667.84097222222</v>
      </c>
      <c r="G178" s="10">
        <v>45667.842523148152</v>
      </c>
      <c r="H178" s="3" t="s">
        <v>649</v>
      </c>
      <c r="I178" s="10">
        <v>45668.326319444437</v>
      </c>
      <c r="J178" s="10">
        <v>45668.348541666674</v>
      </c>
      <c r="K178" s="10">
        <v>45668.348541666674</v>
      </c>
      <c r="L178" s="10">
        <v>45668.349340277768</v>
      </c>
      <c r="M178" s="11">
        <f t="shared" si="6"/>
        <v>7.2685185223235749E-3</v>
      </c>
      <c r="N178" s="11">
        <f t="shared" si="7"/>
        <v>0.50681712961522862</v>
      </c>
      <c r="O178" s="10">
        <v>45667.848252314812</v>
      </c>
      <c r="P178" s="11">
        <f t="shared" si="8"/>
        <v>0.47806712962483289</v>
      </c>
      <c r="Q178" s="12" t="s">
        <v>650</v>
      </c>
    </row>
    <row r="179" spans="1:17" ht="25.5" x14ac:dyDescent="0.45">
      <c r="A179" s="3" t="s">
        <v>651</v>
      </c>
      <c r="B179" s="3" t="s">
        <v>196</v>
      </c>
      <c r="C179" s="9">
        <v>48</v>
      </c>
      <c r="D179" s="3" t="s">
        <v>263</v>
      </c>
      <c r="E179" s="10">
        <v>45667.83525462963</v>
      </c>
      <c r="F179" s="10">
        <v>45667.84097222222</v>
      </c>
      <c r="G179" s="10">
        <v>45667.842523148152</v>
      </c>
      <c r="H179" s="3" t="s">
        <v>649</v>
      </c>
      <c r="I179" s="10">
        <v>45668.326319444437</v>
      </c>
      <c r="J179" s="10">
        <v>45668.348541666674</v>
      </c>
      <c r="K179" s="10">
        <v>45668.348541666674</v>
      </c>
      <c r="L179" s="10">
        <v>45668.349340277768</v>
      </c>
      <c r="M179" s="11">
        <f t="shared" si="6"/>
        <v>7.2685185223235749E-3</v>
      </c>
      <c r="N179" s="11">
        <f t="shared" si="7"/>
        <v>0.50681712961522862</v>
      </c>
      <c r="O179" s="10">
        <v>45667.8515625</v>
      </c>
      <c r="P179" s="11">
        <f t="shared" si="8"/>
        <v>0.47475694443710381</v>
      </c>
      <c r="Q179" s="12" t="s">
        <v>652</v>
      </c>
    </row>
    <row r="180" spans="1:17" ht="25.5" x14ac:dyDescent="0.45">
      <c r="A180" s="3" t="s">
        <v>653</v>
      </c>
      <c r="B180" s="3" t="s">
        <v>196</v>
      </c>
      <c r="C180" s="9">
        <v>48</v>
      </c>
      <c r="D180" s="3" t="s">
        <v>283</v>
      </c>
      <c r="E180" s="10">
        <v>45667.83525462963</v>
      </c>
      <c r="F180" s="10">
        <v>45667.842523148152</v>
      </c>
      <c r="G180" s="10">
        <v>45667.843761574077</v>
      </c>
      <c r="H180" s="3" t="s">
        <v>654</v>
      </c>
      <c r="I180" s="10">
        <v>45668.535590277781</v>
      </c>
      <c r="J180" s="10">
        <v>45668.563368055547</v>
      </c>
      <c r="K180" s="10">
        <v>45668.563368055547</v>
      </c>
      <c r="L180" s="10">
        <v>45668.564328703702</v>
      </c>
      <c r="M180" s="11">
        <f t="shared" si="6"/>
        <v>8.5069444467080757E-3</v>
      </c>
      <c r="N180" s="11">
        <f t="shared" si="7"/>
        <v>0.72056712962512393</v>
      </c>
      <c r="O180" s="10">
        <v>45667.84951388889</v>
      </c>
      <c r="P180" s="11">
        <f t="shared" si="8"/>
        <v>0.68607638889079681</v>
      </c>
      <c r="Q180" s="12" t="s">
        <v>655</v>
      </c>
    </row>
    <row r="181" spans="1:17" ht="38.25" x14ac:dyDescent="0.45">
      <c r="A181" s="3" t="s">
        <v>656</v>
      </c>
      <c r="B181" s="3" t="s">
        <v>197</v>
      </c>
      <c r="C181" s="9">
        <v>32</v>
      </c>
      <c r="D181" s="3" t="s">
        <v>255</v>
      </c>
      <c r="E181" s="10">
        <v>45667.939317129632</v>
      </c>
      <c r="F181" s="10">
        <v>45667.945462962962</v>
      </c>
      <c r="G181" s="10">
        <v>45667.94667824074</v>
      </c>
      <c r="H181" s="3" t="s">
        <v>657</v>
      </c>
      <c r="I181" s="10">
        <v>45668.308159722219</v>
      </c>
      <c r="J181" s="10">
        <v>45668.33871527778</v>
      </c>
      <c r="K181" s="10">
        <v>45668.33871527778</v>
      </c>
      <c r="L181" s="10">
        <v>45668.33965277778</v>
      </c>
      <c r="M181" s="11">
        <f t="shared" si="6"/>
        <v>7.3611111074569635E-3</v>
      </c>
      <c r="N181" s="11">
        <f t="shared" si="7"/>
        <v>0.39297453704057261</v>
      </c>
      <c r="O181" s="10">
        <v>45667.950810185182</v>
      </c>
      <c r="P181" s="11">
        <f t="shared" si="8"/>
        <v>0.35734953703649808</v>
      </c>
      <c r="Q181" s="12" t="s">
        <v>658</v>
      </c>
    </row>
    <row r="182" spans="1:17" ht="25.5" x14ac:dyDescent="0.45">
      <c r="A182" s="3" t="s">
        <v>659</v>
      </c>
      <c r="B182" s="3" t="s">
        <v>197</v>
      </c>
      <c r="C182" s="9">
        <v>32</v>
      </c>
      <c r="D182" s="3" t="s">
        <v>231</v>
      </c>
      <c r="E182" s="10">
        <v>45667.939317129632</v>
      </c>
      <c r="F182" s="10">
        <v>45667.94667824074</v>
      </c>
      <c r="G182" s="10">
        <v>45667.94803240741</v>
      </c>
      <c r="H182" s="3" t="s">
        <v>660</v>
      </c>
      <c r="I182" s="10">
        <v>45668.273414351846</v>
      </c>
      <c r="J182" s="10">
        <v>45668.298414351862</v>
      </c>
      <c r="K182" s="10">
        <v>45668.298414351862</v>
      </c>
      <c r="L182" s="10">
        <v>45668.299293981479</v>
      </c>
      <c r="M182" s="11">
        <f t="shared" si="6"/>
        <v>8.7152777778101154E-3</v>
      </c>
      <c r="N182" s="11">
        <f t="shared" si="7"/>
        <v>0.35126157406921266</v>
      </c>
      <c r="O182" s="10">
        <v>45667.952152777783</v>
      </c>
      <c r="P182" s="11">
        <f t="shared" si="8"/>
        <v>0.32126157406310085</v>
      </c>
      <c r="Q182" s="12" t="s">
        <v>661</v>
      </c>
    </row>
    <row r="183" spans="1:17" ht="38.25" x14ac:dyDescent="0.45">
      <c r="A183" s="3" t="s">
        <v>662</v>
      </c>
      <c r="B183" s="3" t="s">
        <v>197</v>
      </c>
      <c r="C183" s="9">
        <v>32</v>
      </c>
      <c r="D183" s="3" t="s">
        <v>255</v>
      </c>
      <c r="E183" s="10">
        <v>45667.939317129632</v>
      </c>
      <c r="F183" s="10">
        <v>45667.94803240741</v>
      </c>
      <c r="G183" s="10">
        <v>45667.949247685188</v>
      </c>
      <c r="H183" s="3" t="s">
        <v>657</v>
      </c>
      <c r="I183" s="10">
        <v>45668.308159722219</v>
      </c>
      <c r="J183" s="10">
        <v>45668.33871527778</v>
      </c>
      <c r="K183" s="10">
        <v>45668.33871527778</v>
      </c>
      <c r="L183" s="10">
        <v>45668.33965277778</v>
      </c>
      <c r="M183" s="11">
        <f t="shared" si="6"/>
        <v>9.930555555911269E-3</v>
      </c>
      <c r="N183" s="11">
        <f t="shared" si="7"/>
        <v>0.39040509259211831</v>
      </c>
      <c r="O183" s="10">
        <v>45667.954988425918</v>
      </c>
      <c r="P183" s="11">
        <f t="shared" si="8"/>
        <v>0.35317129630129784</v>
      </c>
      <c r="Q183" s="12" t="s">
        <v>663</v>
      </c>
    </row>
    <row r="184" spans="1:17" ht="25.5" x14ac:dyDescent="0.45">
      <c r="A184" s="3" t="s">
        <v>664</v>
      </c>
      <c r="B184" s="3" t="s">
        <v>198</v>
      </c>
      <c r="C184" s="9">
        <v>32</v>
      </c>
      <c r="D184" s="3" t="s">
        <v>231</v>
      </c>
      <c r="E184" s="10">
        <v>45668.251851851863</v>
      </c>
      <c r="F184" s="10">
        <v>45668.257106481477</v>
      </c>
      <c r="G184" s="10">
        <v>45668.258634259262</v>
      </c>
      <c r="H184" s="3" t="s">
        <v>660</v>
      </c>
      <c r="I184" s="10">
        <v>45668.273414351846</v>
      </c>
      <c r="J184" s="10">
        <v>45668.298414351862</v>
      </c>
      <c r="K184" s="10">
        <v>45668.298414351862</v>
      </c>
      <c r="L184" s="10">
        <v>45668.299293981479</v>
      </c>
      <c r="M184" s="11">
        <f t="shared" si="6"/>
        <v>6.7824073994415812E-3</v>
      </c>
      <c r="N184" s="11">
        <f t="shared" si="7"/>
        <v>4.0659722217242233E-2</v>
      </c>
      <c r="O184" s="10">
        <v>45668.264374999999</v>
      </c>
      <c r="P184" s="11">
        <f t="shared" si="8"/>
        <v>9.0393518476048484E-3</v>
      </c>
      <c r="Q184" s="12" t="s">
        <v>665</v>
      </c>
    </row>
    <row r="185" spans="1:17" ht="25.5" x14ac:dyDescent="0.45">
      <c r="A185" s="3" t="s">
        <v>666</v>
      </c>
      <c r="B185" s="3" t="s">
        <v>198</v>
      </c>
      <c r="C185" s="9">
        <v>80</v>
      </c>
      <c r="D185" s="3" t="s">
        <v>231</v>
      </c>
      <c r="E185" s="10">
        <v>45668.251851851863</v>
      </c>
      <c r="F185" s="10">
        <v>45668.257106481477</v>
      </c>
      <c r="G185" s="10">
        <v>45668.258634259262</v>
      </c>
      <c r="H185" s="3" t="s">
        <v>660</v>
      </c>
      <c r="I185" s="10">
        <v>45668.273414351846</v>
      </c>
      <c r="J185" s="10">
        <v>45668.298414351862</v>
      </c>
      <c r="K185" s="10">
        <v>45668.298414351862</v>
      </c>
      <c r="L185" s="10">
        <v>45668.299293981479</v>
      </c>
      <c r="M185" s="11">
        <f t="shared" si="6"/>
        <v>6.7824073994415812E-3</v>
      </c>
      <c r="N185" s="11">
        <f t="shared" si="7"/>
        <v>4.0659722217242233E-2</v>
      </c>
      <c r="O185" s="10">
        <v>45668.272581018522</v>
      </c>
      <c r="P185" s="11">
        <f t="shared" si="8"/>
        <v>8.3333332440815866E-4</v>
      </c>
      <c r="Q185" s="12" t="s">
        <v>667</v>
      </c>
    </row>
    <row r="186" spans="1:17" ht="25.5" x14ac:dyDescent="0.45">
      <c r="A186" s="3" t="s">
        <v>668</v>
      </c>
      <c r="B186" s="3" t="s">
        <v>199</v>
      </c>
      <c r="C186" s="9">
        <v>48</v>
      </c>
      <c r="D186" s="3" t="s">
        <v>237</v>
      </c>
      <c r="E186" s="10">
        <v>45668.260914351849</v>
      </c>
      <c r="F186" s="10">
        <v>45668.267893518518</v>
      </c>
      <c r="G186" s="10">
        <v>45668.268750000003</v>
      </c>
      <c r="H186" s="3" t="s">
        <v>619</v>
      </c>
      <c r="I186" s="10">
        <v>45668.277800925927</v>
      </c>
      <c r="J186" s="10">
        <v>45668.29724537037</v>
      </c>
      <c r="K186" s="10">
        <v>45668.29724537037</v>
      </c>
      <c r="L186" s="10">
        <v>45668.297962962963</v>
      </c>
      <c r="M186" s="11">
        <f t="shared" si="6"/>
        <v>7.8356481535593048E-3</v>
      </c>
      <c r="N186" s="11">
        <f t="shared" si="7"/>
        <v>2.9212962959718425E-2</v>
      </c>
      <c r="O186" s="10">
        <v>45668.276932870373</v>
      </c>
      <c r="P186" s="11">
        <f t="shared" si="8"/>
        <v>8.6805555474711582E-4</v>
      </c>
      <c r="Q186" s="12" t="s">
        <v>669</v>
      </c>
    </row>
    <row r="187" spans="1:17" ht="51" x14ac:dyDescent="0.45">
      <c r="A187" s="3" t="s">
        <v>670</v>
      </c>
      <c r="B187" s="3" t="s">
        <v>199</v>
      </c>
      <c r="C187" s="9">
        <v>32</v>
      </c>
      <c r="D187" s="3" t="s">
        <v>231</v>
      </c>
      <c r="E187" s="10">
        <v>45668.260914351849</v>
      </c>
      <c r="F187" s="10">
        <v>45668.268750000003</v>
      </c>
      <c r="G187" s="10">
        <v>45668.269953703697</v>
      </c>
      <c r="H187" s="3" t="s">
        <v>671</v>
      </c>
      <c r="I187" s="10">
        <v>45668.903275462973</v>
      </c>
      <c r="J187" s="10">
        <v>45668.94771990741</v>
      </c>
      <c r="K187" s="10">
        <v>45668.94771990741</v>
      </c>
      <c r="L187" s="10">
        <v>45668.948819444442</v>
      </c>
      <c r="M187" s="11">
        <f t="shared" si="6"/>
        <v>9.0393518476048484E-3</v>
      </c>
      <c r="N187" s="11">
        <f t="shared" si="7"/>
        <v>0.67886574074509554</v>
      </c>
      <c r="O187" s="10">
        <v>45668.274074074077</v>
      </c>
      <c r="P187" s="11">
        <f t="shared" si="8"/>
        <v>0.6292013888960355</v>
      </c>
      <c r="Q187" s="12" t="s">
        <v>672</v>
      </c>
    </row>
    <row r="188" spans="1:17" ht="38.25" x14ac:dyDescent="0.45">
      <c r="A188" s="3" t="s">
        <v>673</v>
      </c>
      <c r="B188" s="3" t="s">
        <v>199</v>
      </c>
      <c r="C188" s="9">
        <v>48</v>
      </c>
      <c r="D188" s="3" t="s">
        <v>237</v>
      </c>
      <c r="E188" s="10">
        <v>45668.260914351849</v>
      </c>
      <c r="F188" s="10">
        <v>45668.269953703697</v>
      </c>
      <c r="G188" s="10">
        <v>45668.271111111113</v>
      </c>
      <c r="H188" s="3" t="s">
        <v>674</v>
      </c>
      <c r="I188" s="10">
        <v>45668.296203703707</v>
      </c>
      <c r="J188" s="10">
        <v>45668.32675925926</v>
      </c>
      <c r="K188" s="10">
        <v>45668.32675925926</v>
      </c>
      <c r="L188" s="10">
        <v>45668.327766203707</v>
      </c>
      <c r="M188" s="11">
        <f t="shared" si="6"/>
        <v>1.0196759263635613E-2</v>
      </c>
      <c r="N188" s="11">
        <f t="shared" si="7"/>
        <v>5.6655092594155576E-2</v>
      </c>
      <c r="O188" s="10">
        <v>45668.276342592602</v>
      </c>
      <c r="P188" s="11">
        <f t="shared" si="8"/>
        <v>1.986111110454658E-2</v>
      </c>
      <c r="Q188" s="12" t="s">
        <v>675</v>
      </c>
    </row>
    <row r="189" spans="1:17" ht="25.5" x14ac:dyDescent="0.45">
      <c r="A189" s="3" t="s">
        <v>676</v>
      </c>
      <c r="B189" s="3" t="s">
        <v>200</v>
      </c>
      <c r="C189" s="9">
        <v>48</v>
      </c>
      <c r="D189" s="3" t="s">
        <v>237</v>
      </c>
      <c r="E189" s="10">
        <v>45668.273414351846</v>
      </c>
      <c r="F189" s="10">
        <v>45668.278900462959</v>
      </c>
      <c r="G189" s="10">
        <v>45668.280243055553</v>
      </c>
      <c r="H189" s="3" t="s">
        <v>674</v>
      </c>
      <c r="I189" s="10">
        <v>45668.296203703707</v>
      </c>
      <c r="J189" s="10">
        <v>45668.32675925926</v>
      </c>
      <c r="K189" s="10">
        <v>45668.32675925926</v>
      </c>
      <c r="L189" s="10">
        <v>45668.327766203707</v>
      </c>
      <c r="M189" s="11">
        <f t="shared" si="6"/>
        <v>6.8287037065601908E-3</v>
      </c>
      <c r="N189" s="11">
        <f t="shared" si="7"/>
        <v>4.7523148154141381E-2</v>
      </c>
      <c r="O189" s="10">
        <v>45668.288425925923</v>
      </c>
      <c r="P189" s="11">
        <f t="shared" si="8"/>
        <v>7.7777777842129581E-3</v>
      </c>
      <c r="Q189" s="12" t="s">
        <v>677</v>
      </c>
    </row>
    <row r="190" spans="1:17" ht="25.5" x14ac:dyDescent="0.45">
      <c r="A190" s="3" t="s">
        <v>678</v>
      </c>
      <c r="B190" s="3" t="s">
        <v>200</v>
      </c>
      <c r="C190" s="9">
        <v>32</v>
      </c>
      <c r="D190" s="3" t="s">
        <v>237</v>
      </c>
      <c r="E190" s="10">
        <v>45668.273414351846</v>
      </c>
      <c r="F190" s="10">
        <v>45668.278900462959</v>
      </c>
      <c r="G190" s="10">
        <v>45668.280243055553</v>
      </c>
      <c r="H190" s="3" t="s">
        <v>674</v>
      </c>
      <c r="I190" s="10">
        <v>45668.296203703707</v>
      </c>
      <c r="J190" s="10">
        <v>45668.32675925926</v>
      </c>
      <c r="K190" s="10">
        <v>45668.32675925926</v>
      </c>
      <c r="L190" s="10">
        <v>45668.327766203707</v>
      </c>
      <c r="M190" s="11">
        <f t="shared" si="6"/>
        <v>6.8287037065601908E-3</v>
      </c>
      <c r="N190" s="11">
        <f t="shared" si="7"/>
        <v>4.7523148154141381E-2</v>
      </c>
      <c r="O190" s="10">
        <v>45668.28633101852</v>
      </c>
      <c r="P190" s="11">
        <f t="shared" si="8"/>
        <v>9.8726851865649223E-3</v>
      </c>
      <c r="Q190" s="12" t="s">
        <v>679</v>
      </c>
    </row>
    <row r="191" spans="1:17" ht="25.5" x14ac:dyDescent="0.45">
      <c r="A191" s="3" t="s">
        <v>680</v>
      </c>
      <c r="B191" s="3" t="s">
        <v>200</v>
      </c>
      <c r="C191" s="9">
        <v>48</v>
      </c>
      <c r="D191" s="3" t="s">
        <v>237</v>
      </c>
      <c r="E191" s="10">
        <v>45668.273414351846</v>
      </c>
      <c r="F191" s="10">
        <v>45668.278900462959</v>
      </c>
      <c r="G191" s="10">
        <v>45668.280243055553</v>
      </c>
      <c r="H191" s="3" t="s">
        <v>674</v>
      </c>
      <c r="I191" s="10">
        <v>45668.296203703707</v>
      </c>
      <c r="J191" s="10">
        <v>45668.32675925926</v>
      </c>
      <c r="K191" s="10">
        <v>45668.32675925926</v>
      </c>
      <c r="L191" s="10">
        <v>45668.327766203707</v>
      </c>
      <c r="M191" s="11">
        <f t="shared" si="6"/>
        <v>6.8287037065601908E-3</v>
      </c>
      <c r="N191" s="11">
        <f t="shared" si="7"/>
        <v>4.7523148154141381E-2</v>
      </c>
      <c r="O191" s="10">
        <v>45668.294571759259</v>
      </c>
      <c r="P191" s="11">
        <f t="shared" si="8"/>
        <v>1.6319444475811906E-3</v>
      </c>
      <c r="Q191" s="12" t="s">
        <v>681</v>
      </c>
    </row>
    <row r="192" spans="1:17" ht="25.5" x14ac:dyDescent="0.45">
      <c r="A192" s="3" t="s">
        <v>682</v>
      </c>
      <c r="B192" s="3" t="s">
        <v>201</v>
      </c>
      <c r="C192" s="9">
        <v>32</v>
      </c>
      <c r="D192" s="3" t="s">
        <v>255</v>
      </c>
      <c r="E192" s="10">
        <v>45668.29074074074</v>
      </c>
      <c r="F192" s="10">
        <v>45668.295844907407</v>
      </c>
      <c r="G192" s="10">
        <v>45668.297256944446</v>
      </c>
      <c r="H192" s="3" t="s">
        <v>657</v>
      </c>
      <c r="I192" s="10">
        <v>45668.308159722219</v>
      </c>
      <c r="J192" s="10">
        <v>45668.33871527778</v>
      </c>
      <c r="K192" s="10">
        <v>45668.33871527778</v>
      </c>
      <c r="L192" s="10">
        <v>45668.33965277778</v>
      </c>
      <c r="M192" s="11">
        <f t="shared" si="6"/>
        <v>6.5162037062691525E-3</v>
      </c>
      <c r="N192" s="11">
        <f t="shared" si="7"/>
        <v>4.2395833334012423E-2</v>
      </c>
      <c r="O192" s="10">
        <v>45668.303865740738</v>
      </c>
      <c r="P192" s="11">
        <f t="shared" si="8"/>
        <v>4.2939814811688848E-3</v>
      </c>
      <c r="Q192" s="12" t="s">
        <v>683</v>
      </c>
    </row>
    <row r="193" spans="1:17" ht="25.5" x14ac:dyDescent="0.45">
      <c r="A193" s="3" t="s">
        <v>684</v>
      </c>
      <c r="B193" s="3" t="s">
        <v>201</v>
      </c>
      <c r="C193" s="9">
        <v>32</v>
      </c>
      <c r="D193" s="3" t="s">
        <v>255</v>
      </c>
      <c r="E193" s="10">
        <v>45668.29074074074</v>
      </c>
      <c r="F193" s="10">
        <v>45668.295844907407</v>
      </c>
      <c r="G193" s="10">
        <v>45668.297256944446</v>
      </c>
      <c r="H193" s="3" t="s">
        <v>657</v>
      </c>
      <c r="I193" s="10">
        <v>45668.308159722219</v>
      </c>
      <c r="J193" s="10">
        <v>45668.33871527778</v>
      </c>
      <c r="K193" s="10">
        <v>45668.33871527778</v>
      </c>
      <c r="L193" s="10">
        <v>45668.33965277778</v>
      </c>
      <c r="M193" s="11">
        <f t="shared" si="6"/>
        <v>6.5162037062691525E-3</v>
      </c>
      <c r="N193" s="11">
        <f t="shared" si="7"/>
        <v>4.2395833334012423E-2</v>
      </c>
      <c r="O193" s="10">
        <v>45668.3047337963</v>
      </c>
      <c r="P193" s="11">
        <f t="shared" si="8"/>
        <v>3.4259259191458113E-3</v>
      </c>
      <c r="Q193" s="12" t="s">
        <v>685</v>
      </c>
    </row>
    <row r="194" spans="1:17" ht="25.5" x14ac:dyDescent="0.45">
      <c r="A194" s="3" t="s">
        <v>686</v>
      </c>
      <c r="B194" s="3" t="s">
        <v>201</v>
      </c>
      <c r="C194" s="9">
        <v>48</v>
      </c>
      <c r="D194" s="3" t="s">
        <v>255</v>
      </c>
      <c r="E194" s="10">
        <v>45668.29074074074</v>
      </c>
      <c r="F194" s="10">
        <v>45668.295844907407</v>
      </c>
      <c r="G194" s="10">
        <v>45668.297256944446</v>
      </c>
      <c r="H194" s="3" t="s">
        <v>657</v>
      </c>
      <c r="I194" s="10">
        <v>45668.308159722219</v>
      </c>
      <c r="J194" s="10">
        <v>45668.33871527778</v>
      </c>
      <c r="K194" s="10">
        <v>45668.33871527778</v>
      </c>
      <c r="L194" s="10">
        <v>45668.33965277778</v>
      </c>
      <c r="M194" s="11">
        <f t="shared" ref="M194:M251" si="9">IF(AND(ISNUMBER(E194),ISNUMBER(G194)),(G194-E194),"")</f>
        <v>6.5162037062691525E-3</v>
      </c>
      <c r="N194" s="11">
        <f t="shared" ref="N194:N251" si="10">IF(AND(ISNUMBER(G194),ISNUMBER(L194)),(L194-G194),"")</f>
        <v>4.2395833334012423E-2</v>
      </c>
      <c r="O194" s="10">
        <v>45668.307291666657</v>
      </c>
      <c r="P194" s="11">
        <f t="shared" ref="P194:P257" si="11">IF(AND(ISNUMBER(I194),ISNUMBER(O194)),(I194-O194),"")</f>
        <v>8.6805556202307343E-4</v>
      </c>
      <c r="Q194" s="12" t="s">
        <v>687</v>
      </c>
    </row>
    <row r="195" spans="1:17" ht="25.5" x14ac:dyDescent="0.45">
      <c r="A195" s="3" t="s">
        <v>688</v>
      </c>
      <c r="B195" s="3" t="s">
        <v>202</v>
      </c>
      <c r="C195" s="9">
        <v>32</v>
      </c>
      <c r="D195" s="3" t="s">
        <v>263</v>
      </c>
      <c r="E195" s="10">
        <v>45668.305324074077</v>
      </c>
      <c r="F195" s="10">
        <v>45668.312083333331</v>
      </c>
      <c r="G195" s="10">
        <v>45668.313483796293</v>
      </c>
      <c r="H195" s="3" t="s">
        <v>649</v>
      </c>
      <c r="I195" s="10">
        <v>45668.326319444437</v>
      </c>
      <c r="J195" s="10">
        <v>45668.348541666674</v>
      </c>
      <c r="K195" s="10">
        <v>45668.348541666674</v>
      </c>
      <c r="L195" s="10">
        <v>45668.349340277768</v>
      </c>
      <c r="M195" s="11">
        <f t="shared" si="9"/>
        <v>8.1597222160780802E-3</v>
      </c>
      <c r="N195" s="11">
        <f t="shared" si="10"/>
        <v>3.5856481474183965E-2</v>
      </c>
      <c r="O195" s="10">
        <v>45668.318692129629</v>
      </c>
      <c r="P195" s="11">
        <f t="shared" si="11"/>
        <v>7.6273148079053499E-3</v>
      </c>
      <c r="Q195" s="12" t="s">
        <v>689</v>
      </c>
    </row>
    <row r="196" spans="1:17" ht="25.5" x14ac:dyDescent="0.45">
      <c r="A196" s="3" t="s">
        <v>690</v>
      </c>
      <c r="B196" s="3" t="s">
        <v>202</v>
      </c>
      <c r="C196" s="9">
        <v>32</v>
      </c>
      <c r="D196" s="3" t="s">
        <v>350</v>
      </c>
      <c r="E196" s="10">
        <v>45668.305324074077</v>
      </c>
      <c r="F196" s="10">
        <v>45668.313483796293</v>
      </c>
      <c r="G196" s="10">
        <v>45668.314803240741</v>
      </c>
      <c r="H196" s="3" t="s">
        <v>591</v>
      </c>
      <c r="I196" s="10">
        <v>45668.544629629629</v>
      </c>
      <c r="J196" s="10">
        <v>45668.56962962963</v>
      </c>
      <c r="K196" s="10">
        <v>45668.56962962963</v>
      </c>
      <c r="L196" s="10">
        <v>45668.5703587963</v>
      </c>
      <c r="M196" s="11">
        <f t="shared" si="9"/>
        <v>9.4791666633682325E-3</v>
      </c>
      <c r="N196" s="11">
        <f t="shared" si="10"/>
        <v>0.25555555555911269</v>
      </c>
      <c r="O196" s="10">
        <v>45668.320567129631</v>
      </c>
      <c r="P196" s="11">
        <f t="shared" si="11"/>
        <v>0.22406249999767169</v>
      </c>
      <c r="Q196" s="12" t="s">
        <v>691</v>
      </c>
    </row>
    <row r="197" spans="1:17" ht="25.5" x14ac:dyDescent="0.45">
      <c r="A197" s="3" t="s">
        <v>692</v>
      </c>
      <c r="B197" s="3" t="s">
        <v>202</v>
      </c>
      <c r="C197" s="9">
        <v>48</v>
      </c>
      <c r="D197" s="3" t="s">
        <v>263</v>
      </c>
      <c r="E197" s="10">
        <v>45668.305324074077</v>
      </c>
      <c r="F197" s="10">
        <v>45668.314803240741</v>
      </c>
      <c r="G197" s="10">
        <v>45668.315671296303</v>
      </c>
      <c r="H197" s="3" t="s">
        <v>693</v>
      </c>
      <c r="I197" s="10">
        <v>45668.546469907407</v>
      </c>
      <c r="J197" s="10">
        <v>45668.574247685188</v>
      </c>
      <c r="K197" s="10">
        <v>45668.574247685188</v>
      </c>
      <c r="L197" s="10">
        <v>45668.575092592589</v>
      </c>
      <c r="M197" s="11">
        <f t="shared" si="9"/>
        <v>1.0347222225391306E-2</v>
      </c>
      <c r="N197" s="11">
        <f t="shared" si="10"/>
        <v>0.25942129628674593</v>
      </c>
      <c r="O197" s="10">
        <v>45668.324687499997</v>
      </c>
      <c r="P197" s="11">
        <f t="shared" si="11"/>
        <v>0.22178240741050104</v>
      </c>
      <c r="Q197" s="12" t="s">
        <v>694</v>
      </c>
    </row>
    <row r="198" spans="1:17" ht="25.5" x14ac:dyDescent="0.45">
      <c r="A198" s="3" t="s">
        <v>695</v>
      </c>
      <c r="B198" s="3" t="s">
        <v>203</v>
      </c>
      <c r="C198" s="9">
        <v>80</v>
      </c>
      <c r="D198" s="3" t="s">
        <v>237</v>
      </c>
      <c r="E198" s="10">
        <v>45668.501851851863</v>
      </c>
      <c r="F198" s="10">
        <v>45668.507013888891</v>
      </c>
      <c r="G198" s="10">
        <v>45668.508518518523</v>
      </c>
      <c r="H198" s="3" t="s">
        <v>696</v>
      </c>
      <c r="I198" s="10">
        <v>45668.575925925928</v>
      </c>
      <c r="J198" s="10">
        <v>45668.595370370371</v>
      </c>
      <c r="K198" s="10">
        <v>45668.595370370371</v>
      </c>
      <c r="L198" s="10">
        <v>45668.596134259264</v>
      </c>
      <c r="M198" s="11">
        <f t="shared" si="9"/>
        <v>6.6666666607488878E-3</v>
      </c>
      <c r="N198" s="11">
        <f t="shared" si="10"/>
        <v>8.7615740740147885E-2</v>
      </c>
      <c r="O198" s="10">
        <v>45668.517534722218</v>
      </c>
      <c r="P198" s="11">
        <f t="shared" si="11"/>
        <v>5.8391203710925765E-2</v>
      </c>
      <c r="Q198" s="12" t="s">
        <v>697</v>
      </c>
    </row>
    <row r="199" spans="1:17" ht="25.5" x14ac:dyDescent="0.45">
      <c r="A199" s="3" t="s">
        <v>698</v>
      </c>
      <c r="B199" s="3" t="s">
        <v>203</v>
      </c>
      <c r="C199" s="9">
        <v>32</v>
      </c>
      <c r="D199" s="3" t="s">
        <v>354</v>
      </c>
      <c r="E199" s="10">
        <v>45668.501851851863</v>
      </c>
      <c r="F199" s="10">
        <v>45668.508518518523</v>
      </c>
      <c r="G199" s="10">
        <v>45668.509421296287</v>
      </c>
      <c r="H199" s="3" t="s">
        <v>642</v>
      </c>
      <c r="I199" s="10">
        <v>45668.516018518523</v>
      </c>
      <c r="J199" s="10">
        <v>45668.538240740738</v>
      </c>
      <c r="K199" s="10">
        <v>45668.538240740738</v>
      </c>
      <c r="L199" s="10">
        <v>45668.538958333331</v>
      </c>
      <c r="M199" s="11">
        <f t="shared" si="9"/>
        <v>7.5694444240070879E-3</v>
      </c>
      <c r="N199" s="11">
        <f t="shared" si="10"/>
        <v>2.9537037044065073E-2</v>
      </c>
      <c r="O199" s="10">
        <v>45668.515185185177</v>
      </c>
      <c r="P199" s="11">
        <f t="shared" si="11"/>
        <v>8.333333462360315E-4</v>
      </c>
      <c r="Q199" s="12" t="s">
        <v>699</v>
      </c>
    </row>
    <row r="200" spans="1:17" ht="25.5" x14ac:dyDescent="0.45">
      <c r="A200" s="3" t="s">
        <v>700</v>
      </c>
      <c r="B200" s="3" t="s">
        <v>204</v>
      </c>
      <c r="C200" s="9">
        <v>80</v>
      </c>
      <c r="D200" s="3" t="s">
        <v>283</v>
      </c>
      <c r="E200" s="10">
        <v>45668.513726851852</v>
      </c>
      <c r="F200" s="10">
        <v>45668.519375000003</v>
      </c>
      <c r="G200" s="10">
        <v>45668.52076388889</v>
      </c>
      <c r="H200" s="3" t="s">
        <v>654</v>
      </c>
      <c r="I200" s="10">
        <v>45668.535590277781</v>
      </c>
      <c r="J200" s="10">
        <v>45668.563368055547</v>
      </c>
      <c r="K200" s="10">
        <v>45668.563368055547</v>
      </c>
      <c r="L200" s="10">
        <v>45668.564328703702</v>
      </c>
      <c r="M200" s="11">
        <f t="shared" si="9"/>
        <v>7.0370370376622304E-3</v>
      </c>
      <c r="N200" s="11">
        <f t="shared" si="10"/>
        <v>4.3564814812270924E-2</v>
      </c>
      <c r="O200" s="10">
        <v>45668.533854166657</v>
      </c>
      <c r="P200" s="11">
        <f t="shared" si="11"/>
        <v>1.7361111240461469E-3</v>
      </c>
      <c r="Q200" s="12" t="s">
        <v>701</v>
      </c>
    </row>
    <row r="201" spans="1:17" ht="25.5" x14ac:dyDescent="0.45">
      <c r="A201" s="3" t="s">
        <v>702</v>
      </c>
      <c r="B201" s="3" t="s">
        <v>204</v>
      </c>
      <c r="C201" s="9">
        <v>32</v>
      </c>
      <c r="D201" s="3" t="s">
        <v>283</v>
      </c>
      <c r="E201" s="10">
        <v>45668.513726851852</v>
      </c>
      <c r="F201" s="10">
        <v>45668.519375000003</v>
      </c>
      <c r="G201" s="10">
        <v>45668.52076388889</v>
      </c>
      <c r="H201" s="3" t="s">
        <v>654</v>
      </c>
      <c r="I201" s="10">
        <v>45668.535590277781</v>
      </c>
      <c r="J201" s="10">
        <v>45668.563368055547</v>
      </c>
      <c r="K201" s="10">
        <v>45668.563368055547</v>
      </c>
      <c r="L201" s="10">
        <v>45668.564328703702</v>
      </c>
      <c r="M201" s="11">
        <f t="shared" si="9"/>
        <v>7.0370370376622304E-3</v>
      </c>
      <c r="N201" s="11">
        <f t="shared" si="10"/>
        <v>4.3564814812270924E-2</v>
      </c>
      <c r="O201" s="10">
        <v>45668.527384259258</v>
      </c>
      <c r="P201" s="11">
        <f t="shared" si="11"/>
        <v>8.2060185231966898E-3</v>
      </c>
      <c r="Q201" s="12" t="s">
        <v>703</v>
      </c>
    </row>
    <row r="202" spans="1:17" ht="38.25" x14ac:dyDescent="0.45">
      <c r="A202" s="3" t="s">
        <v>704</v>
      </c>
      <c r="B202" s="3" t="s">
        <v>204</v>
      </c>
      <c r="C202" s="9">
        <v>32</v>
      </c>
      <c r="D202" s="3" t="s">
        <v>231</v>
      </c>
      <c r="E202" s="10">
        <v>45668.513726851852</v>
      </c>
      <c r="F202" s="10">
        <v>45668.52076388889</v>
      </c>
      <c r="G202" s="10">
        <v>45668.521956018521</v>
      </c>
      <c r="H202" s="3" t="s">
        <v>671</v>
      </c>
      <c r="I202" s="10">
        <v>45668.903275462973</v>
      </c>
      <c r="J202" s="10">
        <v>45668.94771990741</v>
      </c>
      <c r="K202" s="10">
        <v>45668.94771990741</v>
      </c>
      <c r="L202" s="10">
        <v>45668.948819444442</v>
      </c>
      <c r="M202" s="11">
        <f t="shared" si="9"/>
        <v>8.2291666694800369E-3</v>
      </c>
      <c r="N202" s="11">
        <f t="shared" si="10"/>
        <v>0.426863425920601</v>
      </c>
      <c r="O202" s="10">
        <v>45668.527696759258</v>
      </c>
      <c r="P202" s="11">
        <f t="shared" si="11"/>
        <v>0.37557870371529134</v>
      </c>
      <c r="Q202" s="12" t="s">
        <v>705</v>
      </c>
    </row>
    <row r="203" spans="1:17" ht="25.5" x14ac:dyDescent="0.45">
      <c r="A203" s="3" t="s">
        <v>706</v>
      </c>
      <c r="B203" s="3" t="s">
        <v>205</v>
      </c>
      <c r="C203" s="9">
        <v>32</v>
      </c>
      <c r="D203" s="3" t="s">
        <v>263</v>
      </c>
      <c r="E203" s="10">
        <v>45668.522939814808</v>
      </c>
      <c r="F203" s="10">
        <v>45668.528090277781</v>
      </c>
      <c r="G203" s="10">
        <v>45668.529074074067</v>
      </c>
      <c r="H203" s="3" t="s">
        <v>693</v>
      </c>
      <c r="I203" s="10">
        <v>45668.546469907407</v>
      </c>
      <c r="J203" s="10">
        <v>45668.574247685188</v>
      </c>
      <c r="K203" s="10">
        <v>45668.574247685188</v>
      </c>
      <c r="L203" s="10">
        <v>45668.575092592589</v>
      </c>
      <c r="M203" s="11">
        <f t="shared" si="9"/>
        <v>6.1342592598521151E-3</v>
      </c>
      <c r="N203" s="11">
        <f t="shared" si="10"/>
        <v>4.6018518522032537E-2</v>
      </c>
      <c r="O203" s="10">
        <v>45668.534317129634</v>
      </c>
      <c r="P203" s="11">
        <f t="shared" si="11"/>
        <v>1.2152777773735579E-2</v>
      </c>
      <c r="Q203" s="12" t="s">
        <v>707</v>
      </c>
    </row>
    <row r="204" spans="1:17" ht="25.5" x14ac:dyDescent="0.45">
      <c r="A204" s="3" t="s">
        <v>708</v>
      </c>
      <c r="B204" s="3" t="s">
        <v>205</v>
      </c>
      <c r="C204" s="9">
        <v>80</v>
      </c>
      <c r="D204" s="3" t="s">
        <v>263</v>
      </c>
      <c r="E204" s="10">
        <v>45668.522939814808</v>
      </c>
      <c r="F204" s="10">
        <v>45668.528090277781</v>
      </c>
      <c r="G204" s="10">
        <v>45668.529074074067</v>
      </c>
      <c r="H204" s="3" t="s">
        <v>693</v>
      </c>
      <c r="I204" s="10">
        <v>45668.546469907407</v>
      </c>
      <c r="J204" s="10">
        <v>45668.574247685188</v>
      </c>
      <c r="K204" s="10">
        <v>45668.574247685188</v>
      </c>
      <c r="L204" s="10">
        <v>45668.575092592589</v>
      </c>
      <c r="M204" s="11">
        <f t="shared" si="9"/>
        <v>6.1342592598521151E-3</v>
      </c>
      <c r="N204" s="11">
        <f t="shared" si="10"/>
        <v>4.6018518522032537E-2</v>
      </c>
      <c r="O204" s="10">
        <v>45668.542939814812</v>
      </c>
      <c r="P204" s="11">
        <f t="shared" si="11"/>
        <v>3.5300925956107676E-3</v>
      </c>
      <c r="Q204" s="12" t="s">
        <v>709</v>
      </c>
    </row>
    <row r="205" spans="1:17" ht="25.5" x14ac:dyDescent="0.45">
      <c r="A205" s="3" t="s">
        <v>710</v>
      </c>
      <c r="B205" s="3" t="s">
        <v>206</v>
      </c>
      <c r="C205" s="9">
        <v>48</v>
      </c>
      <c r="D205" s="3" t="s">
        <v>350</v>
      </c>
      <c r="E205" s="10">
        <v>45668.526886574073</v>
      </c>
      <c r="F205" s="10">
        <v>45668.534085648149</v>
      </c>
      <c r="G205" s="10">
        <v>45668.535451388889</v>
      </c>
      <c r="H205" s="3" t="s">
        <v>591</v>
      </c>
      <c r="I205" s="10">
        <v>45668.544629629629</v>
      </c>
      <c r="J205" s="10">
        <v>45668.56962962963</v>
      </c>
      <c r="K205" s="10">
        <v>45668.56962962963</v>
      </c>
      <c r="L205" s="10">
        <v>45668.5703587963</v>
      </c>
      <c r="M205" s="11">
        <f t="shared" si="9"/>
        <v>8.5648148160544224E-3</v>
      </c>
      <c r="N205" s="11">
        <f t="shared" si="10"/>
        <v>3.4907407411083113E-2</v>
      </c>
      <c r="O205" s="10">
        <v>45668.542905092603</v>
      </c>
      <c r="P205" s="11">
        <f t="shared" si="11"/>
        <v>1.7245370254386216E-3</v>
      </c>
      <c r="Q205" s="12" t="s">
        <v>711</v>
      </c>
    </row>
    <row r="206" spans="1:17" ht="25.5" x14ac:dyDescent="0.45">
      <c r="A206" s="3" t="s">
        <v>712</v>
      </c>
      <c r="B206" s="3" t="s">
        <v>206</v>
      </c>
      <c r="C206" s="9">
        <v>32</v>
      </c>
      <c r="D206" s="3" t="s">
        <v>237</v>
      </c>
      <c r="E206" s="10">
        <v>45668.526886574073</v>
      </c>
      <c r="F206" s="10">
        <v>45668.535451388889</v>
      </c>
      <c r="G206" s="10">
        <v>45668.536851851852</v>
      </c>
      <c r="H206" s="3" t="s">
        <v>696</v>
      </c>
      <c r="I206" s="10">
        <v>45668.575925925928</v>
      </c>
      <c r="J206" s="10">
        <v>45668.595370370371</v>
      </c>
      <c r="K206" s="10">
        <v>45668.595370370371</v>
      </c>
      <c r="L206" s="10">
        <v>45668.596134259264</v>
      </c>
      <c r="M206" s="11">
        <f t="shared" si="9"/>
        <v>9.9652777789742686E-3</v>
      </c>
      <c r="N206" s="11">
        <f t="shared" si="10"/>
        <v>5.9282407411956228E-2</v>
      </c>
      <c r="O206" s="10">
        <v>45668.544224537043</v>
      </c>
      <c r="P206" s="11">
        <f t="shared" si="11"/>
        <v>3.1701388885267079E-2</v>
      </c>
      <c r="Q206" s="12" t="s">
        <v>713</v>
      </c>
    </row>
    <row r="207" spans="1:17" ht="38.25" x14ac:dyDescent="0.45">
      <c r="A207" s="3" t="s">
        <v>714</v>
      </c>
      <c r="B207" s="3" t="s">
        <v>206</v>
      </c>
      <c r="C207" s="9">
        <v>48</v>
      </c>
      <c r="D207" s="3" t="s">
        <v>350</v>
      </c>
      <c r="E207" s="10">
        <v>45668.526886574073</v>
      </c>
      <c r="F207" s="10">
        <v>45668.536851851852</v>
      </c>
      <c r="G207" s="10">
        <v>45668.538101851853</v>
      </c>
      <c r="H207" s="3" t="s">
        <v>715</v>
      </c>
      <c r="I207" s="10">
        <v>45669.360162037039</v>
      </c>
      <c r="J207" s="10">
        <v>45669.387939814813</v>
      </c>
      <c r="K207" s="10">
        <v>45669.387939814813</v>
      </c>
      <c r="L207" s="10">
        <v>45669.388842592591</v>
      </c>
      <c r="M207" s="11">
        <f t="shared" si="9"/>
        <v>1.1215277780138422E-2</v>
      </c>
      <c r="N207" s="11">
        <f t="shared" si="10"/>
        <v>0.85074074073781958</v>
      </c>
      <c r="O207" s="10">
        <v>45668.544803240737</v>
      </c>
      <c r="P207" s="11">
        <f t="shared" si="11"/>
        <v>0.815358796302462</v>
      </c>
      <c r="Q207" s="12" t="s">
        <v>716</v>
      </c>
    </row>
    <row r="208" spans="1:17" ht="25.5" x14ac:dyDescent="0.45">
      <c r="A208" s="3" t="s">
        <v>717</v>
      </c>
      <c r="B208" s="3" t="s">
        <v>207</v>
      </c>
      <c r="C208" s="9">
        <v>48</v>
      </c>
      <c r="D208" s="3" t="s">
        <v>237</v>
      </c>
      <c r="E208" s="10">
        <v>45668.537743055553</v>
      </c>
      <c r="F208" s="10">
        <v>45668.547164351847</v>
      </c>
      <c r="G208" s="10">
        <v>45668.548645833333</v>
      </c>
      <c r="H208" s="3" t="s">
        <v>718</v>
      </c>
      <c r="I208" s="10">
        <v>45668.585266203707</v>
      </c>
      <c r="J208" s="10">
        <v>45668.61582175926</v>
      </c>
      <c r="K208" s="10">
        <v>45668.61582175926</v>
      </c>
      <c r="L208" s="10">
        <v>45668.616770833331</v>
      </c>
      <c r="M208" s="11">
        <f t="shared" si="9"/>
        <v>1.0902777779847383E-2</v>
      </c>
      <c r="N208" s="11">
        <f t="shared" si="10"/>
        <v>6.8124999997962732E-2</v>
      </c>
      <c r="O208" s="10">
        <v>45668.569988425923</v>
      </c>
      <c r="P208" s="11">
        <f t="shared" si="11"/>
        <v>1.527777778392192E-2</v>
      </c>
      <c r="Q208" s="12" t="s">
        <v>719</v>
      </c>
    </row>
    <row r="209" spans="1:17" ht="25.5" x14ac:dyDescent="0.45">
      <c r="A209" s="3" t="s">
        <v>720</v>
      </c>
      <c r="B209" s="3" t="s">
        <v>207</v>
      </c>
      <c r="C209" s="9">
        <v>48</v>
      </c>
      <c r="D209" s="3" t="s">
        <v>237</v>
      </c>
      <c r="E209" s="10">
        <v>45668.537743055553</v>
      </c>
      <c r="F209" s="10">
        <v>45668.547164351847</v>
      </c>
      <c r="G209" s="10">
        <v>45668.548645833333</v>
      </c>
      <c r="H209" s="3" t="s">
        <v>718</v>
      </c>
      <c r="I209" s="10">
        <v>45668.585266203707</v>
      </c>
      <c r="J209" s="10">
        <v>45668.61582175926</v>
      </c>
      <c r="K209" s="10">
        <v>45668.61582175926</v>
      </c>
      <c r="L209" s="10">
        <v>45668.616770833331</v>
      </c>
      <c r="M209" s="11">
        <f t="shared" si="9"/>
        <v>1.0902777779847383E-2</v>
      </c>
      <c r="N209" s="11">
        <f t="shared" si="10"/>
        <v>6.8124999997962732E-2</v>
      </c>
      <c r="O209" s="10">
        <v>45668.578657407408</v>
      </c>
      <c r="P209" s="11">
        <f t="shared" si="11"/>
        <v>6.6087962986784987E-3</v>
      </c>
      <c r="Q209" s="12" t="s">
        <v>721</v>
      </c>
    </row>
    <row r="210" spans="1:17" ht="25.5" x14ac:dyDescent="0.45">
      <c r="A210" s="3" t="s">
        <v>722</v>
      </c>
      <c r="B210" s="3" t="s">
        <v>207</v>
      </c>
      <c r="C210" s="9">
        <v>32</v>
      </c>
      <c r="D210" s="3" t="s">
        <v>354</v>
      </c>
      <c r="E210" s="10">
        <v>45668.537743055553</v>
      </c>
      <c r="F210" s="10">
        <v>45668.548645833333</v>
      </c>
      <c r="G210" s="10">
        <v>45668.549756944441</v>
      </c>
      <c r="H210" s="3" t="s">
        <v>723</v>
      </c>
      <c r="I210" s="10">
        <v>45669.44568287037</v>
      </c>
      <c r="J210" s="10">
        <v>45669.467905092592</v>
      </c>
      <c r="K210" s="10">
        <v>45669.467905092592</v>
      </c>
      <c r="L210" s="10">
        <v>45669.4687962963</v>
      </c>
      <c r="M210" s="11">
        <f t="shared" si="9"/>
        <v>1.2013888888759539E-2</v>
      </c>
      <c r="N210" s="11">
        <f t="shared" si="10"/>
        <v>0.91903935185837327</v>
      </c>
      <c r="O210" s="10">
        <v>45668.568356481483</v>
      </c>
      <c r="P210" s="11">
        <f t="shared" si="11"/>
        <v>0.87732638888701331</v>
      </c>
      <c r="Q210" s="12" t="s">
        <v>724</v>
      </c>
    </row>
    <row r="211" spans="1:17" ht="25.5" x14ac:dyDescent="0.45">
      <c r="A211" s="3" t="s">
        <v>725</v>
      </c>
      <c r="B211" s="3" t="s">
        <v>207</v>
      </c>
      <c r="C211" s="9">
        <v>80</v>
      </c>
      <c r="D211" s="3" t="s">
        <v>237</v>
      </c>
      <c r="E211" s="10">
        <v>45668.537743055553</v>
      </c>
      <c r="F211" s="10">
        <v>45668.549756944441</v>
      </c>
      <c r="G211" s="10">
        <v>45668.551203703697</v>
      </c>
      <c r="H211" s="3" t="s">
        <v>718</v>
      </c>
      <c r="I211" s="10">
        <v>45668.585266203707</v>
      </c>
      <c r="J211" s="10">
        <v>45668.61582175926</v>
      </c>
      <c r="K211" s="10">
        <v>45668.61582175926</v>
      </c>
      <c r="L211" s="10">
        <v>45668.616770833331</v>
      </c>
      <c r="M211" s="11">
        <f t="shared" si="9"/>
        <v>1.3460648144246079E-2</v>
      </c>
      <c r="N211" s="11">
        <f t="shared" si="10"/>
        <v>6.5567129633564036E-2</v>
      </c>
      <c r="O211" s="10">
        <v>45668.584421296298</v>
      </c>
      <c r="P211" s="11">
        <f t="shared" si="11"/>
        <v>8.4490740846376866E-4</v>
      </c>
      <c r="Q211" s="12" t="s">
        <v>726</v>
      </c>
    </row>
    <row r="212" spans="1:17" ht="25.5" x14ac:dyDescent="0.45">
      <c r="A212" s="3" t="s">
        <v>727</v>
      </c>
      <c r="B212" s="3" t="s">
        <v>208</v>
      </c>
      <c r="C212" s="9">
        <v>48</v>
      </c>
      <c r="D212" s="3" t="s">
        <v>283</v>
      </c>
      <c r="E212" s="10">
        <v>45668.546261574083</v>
      </c>
      <c r="F212" s="10">
        <v>45668.552083333343</v>
      </c>
      <c r="G212" s="10">
        <v>45668.553020833337</v>
      </c>
      <c r="H212" s="3" t="s">
        <v>728</v>
      </c>
      <c r="I212" s="10">
        <v>45668.901041666657</v>
      </c>
      <c r="J212" s="10">
        <v>45668.920486111107</v>
      </c>
      <c r="K212" s="10">
        <v>45668.920486111107</v>
      </c>
      <c r="L212" s="10">
        <v>45668.921168981477</v>
      </c>
      <c r="M212" s="11">
        <f t="shared" si="9"/>
        <v>6.7592592531582341E-3</v>
      </c>
      <c r="N212" s="11">
        <f t="shared" si="10"/>
        <v>0.3681481481398805</v>
      </c>
      <c r="O212" s="10">
        <v>45668.574988425928</v>
      </c>
      <c r="P212" s="11">
        <f t="shared" si="11"/>
        <v>0.32605324072937947</v>
      </c>
      <c r="Q212" s="12" t="s">
        <v>729</v>
      </c>
    </row>
    <row r="213" spans="1:17" ht="25.5" x14ac:dyDescent="0.45">
      <c r="A213" s="3" t="s">
        <v>730</v>
      </c>
      <c r="B213" s="3" t="s">
        <v>208</v>
      </c>
      <c r="C213" s="9">
        <v>48</v>
      </c>
      <c r="D213" s="3" t="s">
        <v>247</v>
      </c>
      <c r="E213" s="10">
        <v>45668.546261574083</v>
      </c>
      <c r="F213" s="10">
        <v>45668.553020833337</v>
      </c>
      <c r="G213" s="10">
        <v>45668.554097222222</v>
      </c>
      <c r="H213" s="3" t="s">
        <v>731</v>
      </c>
      <c r="I213" s="10">
        <v>45669.418206018519</v>
      </c>
      <c r="J213" s="10">
        <v>45669.440428240741</v>
      </c>
      <c r="K213" s="10">
        <v>45669.440428240741</v>
      </c>
      <c r="L213" s="10">
        <v>45669.44127314815</v>
      </c>
      <c r="M213" s="11">
        <f t="shared" si="9"/>
        <v>7.8356481390073895E-3</v>
      </c>
      <c r="N213" s="11">
        <f t="shared" si="10"/>
        <v>0.88717592592729488</v>
      </c>
      <c r="O213" s="10">
        <v>45668.575659722221</v>
      </c>
      <c r="P213" s="11">
        <f t="shared" si="11"/>
        <v>0.8425462962986785</v>
      </c>
      <c r="Q213" s="12" t="s">
        <v>732</v>
      </c>
    </row>
    <row r="214" spans="1:17" ht="38.25" x14ac:dyDescent="0.45">
      <c r="A214" s="3" t="s">
        <v>733</v>
      </c>
      <c r="B214" s="3" t="s">
        <v>209</v>
      </c>
      <c r="C214" s="9">
        <v>32</v>
      </c>
      <c r="D214" s="3" t="s">
        <v>231</v>
      </c>
      <c r="E214" s="10">
        <v>45668.751770833333</v>
      </c>
      <c r="F214" s="10">
        <v>45668.756504629629</v>
      </c>
      <c r="G214" s="10">
        <v>45668.757696759261</v>
      </c>
      <c r="H214" s="3" t="s">
        <v>671</v>
      </c>
      <c r="I214" s="10">
        <v>45668.903275462973</v>
      </c>
      <c r="J214" s="10">
        <v>45668.94771990741</v>
      </c>
      <c r="K214" s="10">
        <v>45668.94771990741</v>
      </c>
      <c r="L214" s="10">
        <v>45668.948819444442</v>
      </c>
      <c r="M214" s="11">
        <f t="shared" si="9"/>
        <v>5.9259259287500754E-3</v>
      </c>
      <c r="N214" s="11">
        <f t="shared" si="10"/>
        <v>0.19112268518074416</v>
      </c>
      <c r="O214" s="10">
        <v>45668.763425925928</v>
      </c>
      <c r="P214" s="11">
        <f t="shared" si="11"/>
        <v>0.13984953704493819</v>
      </c>
      <c r="Q214" s="12" t="s">
        <v>734</v>
      </c>
    </row>
    <row r="215" spans="1:17" ht="25.5" x14ac:dyDescent="0.45">
      <c r="A215" s="3" t="s">
        <v>735</v>
      </c>
      <c r="B215" s="3" t="s">
        <v>209</v>
      </c>
      <c r="C215" s="9">
        <v>48</v>
      </c>
      <c r="D215" s="3" t="s">
        <v>255</v>
      </c>
      <c r="E215" s="10">
        <v>45668.751770833333</v>
      </c>
      <c r="F215" s="10">
        <v>45668.757696759261</v>
      </c>
      <c r="G215" s="10">
        <v>45668.758564814823</v>
      </c>
      <c r="H215" s="3" t="s">
        <v>736</v>
      </c>
      <c r="I215" s="10">
        <v>45669.359444444453</v>
      </c>
      <c r="J215" s="10">
        <v>45669.384444444448</v>
      </c>
      <c r="K215" s="10">
        <v>45669.384444444448</v>
      </c>
      <c r="L215" s="10">
        <v>45669.385243055563</v>
      </c>
      <c r="M215" s="11">
        <f t="shared" si="9"/>
        <v>6.7939814907731488E-3</v>
      </c>
      <c r="N215" s="11">
        <f t="shared" si="10"/>
        <v>0.62667824074014788</v>
      </c>
      <c r="O215" s="10">
        <v>45668.763773148137</v>
      </c>
      <c r="P215" s="11">
        <f t="shared" si="11"/>
        <v>0.5956712963161408</v>
      </c>
      <c r="Q215" s="12" t="s">
        <v>737</v>
      </c>
    </row>
    <row r="216" spans="1:17" ht="25.5" x14ac:dyDescent="0.45">
      <c r="A216" s="3" t="s">
        <v>738</v>
      </c>
      <c r="B216" s="3" t="s">
        <v>210</v>
      </c>
      <c r="C216" s="9">
        <v>64</v>
      </c>
      <c r="D216" s="3" t="s">
        <v>283</v>
      </c>
      <c r="E216" s="10">
        <v>45668.877291666657</v>
      </c>
      <c r="F216" s="10">
        <v>45668.888553240737</v>
      </c>
      <c r="G216" s="10">
        <v>45668.889525462961</v>
      </c>
      <c r="H216" s="3" t="s">
        <v>728</v>
      </c>
      <c r="I216" s="10">
        <v>45668.901041666657</v>
      </c>
      <c r="J216" s="10">
        <v>45668.920486111107</v>
      </c>
      <c r="K216" s="10">
        <v>45668.920486111107</v>
      </c>
      <c r="L216" s="10">
        <v>45668.921168981477</v>
      </c>
      <c r="M216" s="11">
        <f t="shared" si="9"/>
        <v>1.2233796303917188E-2</v>
      </c>
      <c r="N216" s="11">
        <f t="shared" si="10"/>
        <v>3.1643518515920732E-2</v>
      </c>
      <c r="O216" s="10">
        <v>45668.900173611109</v>
      </c>
      <c r="P216" s="11">
        <f t="shared" si="11"/>
        <v>8.6805554747115821E-4</v>
      </c>
      <c r="Q216" s="12" t="s">
        <v>739</v>
      </c>
    </row>
    <row r="217" spans="1:17" ht="25.5" x14ac:dyDescent="0.45">
      <c r="A217" s="3" t="s">
        <v>740</v>
      </c>
      <c r="B217" s="3" t="s">
        <v>210</v>
      </c>
      <c r="C217" s="9">
        <v>48</v>
      </c>
      <c r="D217" s="3" t="s">
        <v>231</v>
      </c>
      <c r="E217" s="10">
        <v>45668.877291666657</v>
      </c>
      <c r="F217" s="10">
        <v>45668.889525462961</v>
      </c>
      <c r="G217" s="10">
        <v>45668.891018518523</v>
      </c>
      <c r="H217" s="3" t="s">
        <v>671</v>
      </c>
      <c r="I217" s="10">
        <v>45668.903275462973</v>
      </c>
      <c r="J217" s="10">
        <v>45668.94771990741</v>
      </c>
      <c r="K217" s="10">
        <v>45668.94771990741</v>
      </c>
      <c r="L217" s="10">
        <v>45668.948819444442</v>
      </c>
      <c r="M217" s="11">
        <f t="shared" si="9"/>
        <v>1.3726851866522338E-2</v>
      </c>
      <c r="N217" s="11">
        <f t="shared" si="10"/>
        <v>5.7800925918854773E-2</v>
      </c>
      <c r="O217" s="10">
        <v>45668.898460648154</v>
      </c>
      <c r="P217" s="11">
        <f t="shared" si="11"/>
        <v>4.8148148198379204E-3</v>
      </c>
      <c r="Q217" s="12" t="s">
        <v>741</v>
      </c>
    </row>
    <row r="218" spans="1:17" ht="25.5" x14ac:dyDescent="0.45">
      <c r="A218" s="3" t="s">
        <v>742</v>
      </c>
      <c r="B218" s="3" t="s">
        <v>210</v>
      </c>
      <c r="C218" s="9">
        <v>64</v>
      </c>
      <c r="D218" s="3" t="s">
        <v>231</v>
      </c>
      <c r="E218" s="10">
        <v>45668.877291666657</v>
      </c>
      <c r="F218" s="10">
        <v>45668.889525462961</v>
      </c>
      <c r="G218" s="10">
        <v>45668.891018518523</v>
      </c>
      <c r="H218" s="3" t="s">
        <v>671</v>
      </c>
      <c r="I218" s="10">
        <v>45668.903275462973</v>
      </c>
      <c r="J218" s="10">
        <v>45668.94771990741</v>
      </c>
      <c r="K218" s="10">
        <v>45668.94771990741</v>
      </c>
      <c r="L218" s="10">
        <v>45668.948819444442</v>
      </c>
      <c r="M218" s="11">
        <f t="shared" si="9"/>
        <v>1.3726851866522338E-2</v>
      </c>
      <c r="N218" s="11">
        <f t="shared" si="10"/>
        <v>5.7800925918854773E-2</v>
      </c>
      <c r="O218" s="10">
        <v>45668.902407407397</v>
      </c>
      <c r="P218" s="11">
        <f t="shared" si="11"/>
        <v>8.6805557657498866E-4</v>
      </c>
      <c r="Q218" s="12" t="s">
        <v>743</v>
      </c>
    </row>
    <row r="219" spans="1:17" ht="25.5" x14ac:dyDescent="0.45">
      <c r="A219" s="3" t="s">
        <v>744</v>
      </c>
      <c r="B219" s="3" t="s">
        <v>210</v>
      </c>
      <c r="C219" s="9">
        <v>48</v>
      </c>
      <c r="D219" s="3" t="s">
        <v>231</v>
      </c>
      <c r="E219" s="10">
        <v>45668.877291666657</v>
      </c>
      <c r="F219" s="10">
        <v>45668.889525462961</v>
      </c>
      <c r="G219" s="10">
        <v>45668.891018518523</v>
      </c>
      <c r="H219" s="3" t="s">
        <v>671</v>
      </c>
      <c r="I219" s="10">
        <v>45668.903275462973</v>
      </c>
      <c r="J219" s="10">
        <v>45668.94771990741</v>
      </c>
      <c r="K219" s="10">
        <v>45668.94771990741</v>
      </c>
      <c r="L219" s="10">
        <v>45668.948819444442</v>
      </c>
      <c r="M219" s="11">
        <f t="shared" si="9"/>
        <v>1.3726851866522338E-2</v>
      </c>
      <c r="N219" s="11">
        <f t="shared" si="10"/>
        <v>5.7800925918854773E-2</v>
      </c>
      <c r="O219" s="10">
        <v>45668.900081018517</v>
      </c>
      <c r="P219" s="11">
        <f t="shared" si="11"/>
        <v>3.1944444563123398E-3</v>
      </c>
      <c r="Q219" s="12" t="s">
        <v>745</v>
      </c>
    </row>
    <row r="220" spans="1:17" ht="25.5" x14ac:dyDescent="0.45">
      <c r="A220" s="3" t="s">
        <v>746</v>
      </c>
      <c r="B220" s="3" t="s">
        <v>210</v>
      </c>
      <c r="C220" s="9">
        <v>80</v>
      </c>
      <c r="D220" s="3" t="s">
        <v>237</v>
      </c>
      <c r="E220" s="10">
        <v>45668.877291666657</v>
      </c>
      <c r="F220" s="10">
        <v>45668.891018518523</v>
      </c>
      <c r="G220" s="10">
        <v>45668.892453703702</v>
      </c>
      <c r="H220" s="3" t="s">
        <v>747</v>
      </c>
      <c r="I220" s="10">
        <v>45669.51462962963</v>
      </c>
      <c r="J220" s="10">
        <v>45669.539629629631</v>
      </c>
      <c r="K220" s="10">
        <v>45669.539629629631</v>
      </c>
      <c r="L220" s="10">
        <v>45669.540358796286</v>
      </c>
      <c r="M220" s="11">
        <f t="shared" si="9"/>
        <v>1.5162037045229226E-2</v>
      </c>
      <c r="N220" s="11">
        <f t="shared" si="10"/>
        <v>0.64790509258455131</v>
      </c>
      <c r="O220" s="10">
        <v>45668.901446759257</v>
      </c>
      <c r="P220" s="11">
        <f t="shared" si="11"/>
        <v>0.61318287037283881</v>
      </c>
      <c r="Q220" s="12" t="s">
        <v>748</v>
      </c>
    </row>
    <row r="221" spans="1:17" ht="25.5" x14ac:dyDescent="0.45">
      <c r="A221" s="3" t="s">
        <v>749</v>
      </c>
      <c r="B221" s="3" t="s">
        <v>211</v>
      </c>
      <c r="C221" s="9">
        <v>80</v>
      </c>
      <c r="D221" s="3" t="s">
        <v>263</v>
      </c>
      <c r="E221" s="10">
        <v>45668.981122685182</v>
      </c>
      <c r="F221" s="10">
        <v>45668.987037037034</v>
      </c>
      <c r="G221" s="10">
        <v>45668.988159722219</v>
      </c>
      <c r="H221" s="3" t="s">
        <v>750</v>
      </c>
      <c r="I221" s="10">
        <v>45668.998078703713</v>
      </c>
      <c r="J221" s="10">
        <v>45669.020300925928</v>
      </c>
      <c r="K221" s="10">
        <v>45669.020300925928</v>
      </c>
      <c r="L221" s="10">
        <v>45669.02103009259</v>
      </c>
      <c r="M221" s="11">
        <f t="shared" si="9"/>
        <v>7.0370370376622304E-3</v>
      </c>
      <c r="N221" s="11">
        <f t="shared" si="10"/>
        <v>3.2870370370801538E-2</v>
      </c>
      <c r="O221" s="10">
        <v>45668.997175925928</v>
      </c>
      <c r="P221" s="11">
        <f t="shared" si="11"/>
        <v>9.0277778508607298E-4</v>
      </c>
      <c r="Q221" s="12" t="s">
        <v>751</v>
      </c>
    </row>
    <row r="222" spans="1:17" ht="25.5" x14ac:dyDescent="0.45">
      <c r="A222" s="3" t="s">
        <v>752</v>
      </c>
      <c r="B222" s="3" t="s">
        <v>211</v>
      </c>
      <c r="C222" s="9">
        <v>48</v>
      </c>
      <c r="D222" s="3" t="s">
        <v>263</v>
      </c>
      <c r="E222" s="10">
        <v>45668.981122685182</v>
      </c>
      <c r="F222" s="10">
        <v>45668.987037037034</v>
      </c>
      <c r="G222" s="10">
        <v>45668.988159722219</v>
      </c>
      <c r="H222" s="3" t="s">
        <v>750</v>
      </c>
      <c r="I222" s="10">
        <v>45668.998078703713</v>
      </c>
      <c r="J222" s="10">
        <v>45669.020300925928</v>
      </c>
      <c r="K222" s="10">
        <v>45669.020300925928</v>
      </c>
      <c r="L222" s="10">
        <v>45669.02103009259</v>
      </c>
      <c r="M222" s="11">
        <f t="shared" si="9"/>
        <v>7.0370370376622304E-3</v>
      </c>
      <c r="N222" s="11">
        <f t="shared" si="10"/>
        <v>3.2870370370801538E-2</v>
      </c>
      <c r="O222" s="10">
        <v>45668.997210648151</v>
      </c>
      <c r="P222" s="11">
        <f t="shared" si="11"/>
        <v>8.6805556202307343E-4</v>
      </c>
      <c r="Q222" s="12" t="s">
        <v>753</v>
      </c>
    </row>
    <row r="223" spans="1:17" ht="38.25" x14ac:dyDescent="0.45">
      <c r="A223" s="3" t="s">
        <v>754</v>
      </c>
      <c r="B223" s="3" t="s">
        <v>211</v>
      </c>
      <c r="C223" s="9">
        <v>32</v>
      </c>
      <c r="D223" s="3" t="s">
        <v>283</v>
      </c>
      <c r="E223" s="10">
        <v>45668.981122685182</v>
      </c>
      <c r="F223" s="10">
        <v>45668.988159722219</v>
      </c>
      <c r="G223" s="10">
        <v>45668.989560185182</v>
      </c>
      <c r="H223" s="3" t="s">
        <v>755</v>
      </c>
      <c r="I223" s="10">
        <v>45669.81459490741</v>
      </c>
      <c r="J223" s="10">
        <v>45669.847928240742</v>
      </c>
      <c r="K223" s="10">
        <v>45669.847928240742</v>
      </c>
      <c r="L223" s="10">
        <v>45669.848877314813</v>
      </c>
      <c r="M223" s="11">
        <f t="shared" si="9"/>
        <v>8.4375000005820766E-3</v>
      </c>
      <c r="N223" s="11">
        <f t="shared" si="10"/>
        <v>0.85931712963065365</v>
      </c>
      <c r="O223" s="10">
        <v>45668.993298611109</v>
      </c>
      <c r="P223" s="11">
        <f t="shared" si="11"/>
        <v>0.82129629630071577</v>
      </c>
      <c r="Q223" s="12" t="s">
        <v>756</v>
      </c>
    </row>
    <row r="224" spans="1:17" ht="25.5" x14ac:dyDescent="0.45">
      <c r="A224" s="3" t="s">
        <v>757</v>
      </c>
      <c r="B224" s="3" t="s">
        <v>212</v>
      </c>
      <c r="C224" s="9">
        <v>32</v>
      </c>
      <c r="D224" s="3" t="s">
        <v>350</v>
      </c>
      <c r="E224" s="10">
        <v>45669.335405092592</v>
      </c>
      <c r="F224" s="10">
        <v>45669.346863425933</v>
      </c>
      <c r="G224" s="10">
        <v>45669.348078703697</v>
      </c>
      <c r="H224" s="3" t="s">
        <v>715</v>
      </c>
      <c r="I224" s="10">
        <v>45669.360162037039</v>
      </c>
      <c r="J224" s="10">
        <v>45669.387939814813</v>
      </c>
      <c r="K224" s="10">
        <v>45669.387939814813</v>
      </c>
      <c r="L224" s="10">
        <v>45669.388842592591</v>
      </c>
      <c r="M224" s="11">
        <f t="shared" si="9"/>
        <v>1.2673611105128657E-2</v>
      </c>
      <c r="N224" s="11">
        <f t="shared" si="10"/>
        <v>4.076388889370719E-2</v>
      </c>
      <c r="O224" s="10">
        <v>45669.353819444441</v>
      </c>
      <c r="P224" s="11">
        <f t="shared" si="11"/>
        <v>6.3425925982301123E-3</v>
      </c>
      <c r="Q224" s="12" t="s">
        <v>758</v>
      </c>
    </row>
    <row r="225" spans="1:17" ht="25.5" x14ac:dyDescent="0.45">
      <c r="A225" s="3" t="s">
        <v>759</v>
      </c>
      <c r="B225" s="3" t="s">
        <v>212</v>
      </c>
      <c r="C225" s="9">
        <v>48</v>
      </c>
      <c r="D225" s="3" t="s">
        <v>255</v>
      </c>
      <c r="E225" s="10">
        <v>45669.335405092592</v>
      </c>
      <c r="F225" s="10">
        <v>45669.348078703697</v>
      </c>
      <c r="G225" s="10">
        <v>45669.348946759259</v>
      </c>
      <c r="H225" s="3" t="s">
        <v>736</v>
      </c>
      <c r="I225" s="10">
        <v>45669.359444444453</v>
      </c>
      <c r="J225" s="10">
        <v>45669.384444444448</v>
      </c>
      <c r="K225" s="10">
        <v>45669.384444444448</v>
      </c>
      <c r="L225" s="10">
        <v>45669.385243055563</v>
      </c>
      <c r="M225" s="11">
        <f t="shared" si="9"/>
        <v>1.3541666667151731E-2</v>
      </c>
      <c r="N225" s="11">
        <f t="shared" si="10"/>
        <v>3.6296296304499265E-2</v>
      </c>
      <c r="O225" s="10">
        <v>45669.357141203713</v>
      </c>
      <c r="P225" s="11">
        <f t="shared" si="11"/>
        <v>2.3032407407299615E-3</v>
      </c>
      <c r="Q225" s="12" t="s">
        <v>760</v>
      </c>
    </row>
    <row r="226" spans="1:17" ht="25.5" x14ac:dyDescent="0.45">
      <c r="A226" s="3" t="s">
        <v>761</v>
      </c>
      <c r="B226" s="3" t="s">
        <v>212</v>
      </c>
      <c r="C226" s="9">
        <v>32</v>
      </c>
      <c r="D226" s="3" t="s">
        <v>350</v>
      </c>
      <c r="E226" s="10">
        <v>45669.335405092592</v>
      </c>
      <c r="F226" s="10">
        <v>45669.348946759259</v>
      </c>
      <c r="G226" s="10">
        <v>45669.350266203714</v>
      </c>
      <c r="H226" s="3" t="s">
        <v>715</v>
      </c>
      <c r="I226" s="10">
        <v>45669.360162037039</v>
      </c>
      <c r="J226" s="10">
        <v>45669.387939814813</v>
      </c>
      <c r="K226" s="10">
        <v>45669.387939814813</v>
      </c>
      <c r="L226" s="10">
        <v>45669.388842592591</v>
      </c>
      <c r="M226" s="11">
        <f t="shared" si="9"/>
        <v>1.486111112171784E-2</v>
      </c>
      <c r="N226" s="11">
        <f t="shared" si="10"/>
        <v>3.8576388877118006E-2</v>
      </c>
      <c r="O226" s="10">
        <v>45669.355995370373</v>
      </c>
      <c r="P226" s="11">
        <f t="shared" si="11"/>
        <v>4.166666665696539E-3</v>
      </c>
      <c r="Q226" s="12" t="s">
        <v>762</v>
      </c>
    </row>
    <row r="227" spans="1:17" ht="25.5" x14ac:dyDescent="0.45">
      <c r="A227" s="3" t="s">
        <v>763</v>
      </c>
      <c r="B227" s="3" t="s">
        <v>212</v>
      </c>
      <c r="C227" s="9">
        <v>48</v>
      </c>
      <c r="D227" s="3" t="s">
        <v>350</v>
      </c>
      <c r="E227" s="10">
        <v>45669.335405092592</v>
      </c>
      <c r="F227" s="10">
        <v>45669.348946759259</v>
      </c>
      <c r="G227" s="10">
        <v>45669.350266203714</v>
      </c>
      <c r="H227" s="3" t="s">
        <v>715</v>
      </c>
      <c r="I227" s="10">
        <v>45669.360162037039</v>
      </c>
      <c r="J227" s="10">
        <v>45669.387939814813</v>
      </c>
      <c r="K227" s="10">
        <v>45669.387939814813</v>
      </c>
      <c r="L227" s="10">
        <v>45669.388842592591</v>
      </c>
      <c r="M227" s="11">
        <f t="shared" si="9"/>
        <v>1.486111112171784E-2</v>
      </c>
      <c r="N227" s="11">
        <f t="shared" si="10"/>
        <v>3.8576388877118006E-2</v>
      </c>
      <c r="O227" s="10">
        <v>45669.359305555547</v>
      </c>
      <c r="P227" s="11">
        <f t="shared" si="11"/>
        <v>8.5648149251937866E-4</v>
      </c>
      <c r="Q227" s="12" t="s">
        <v>764</v>
      </c>
    </row>
    <row r="228" spans="1:17" ht="25.5" x14ac:dyDescent="0.45">
      <c r="A228" s="3" t="s">
        <v>765</v>
      </c>
      <c r="B228" s="3" t="s">
        <v>212</v>
      </c>
      <c r="C228" s="9">
        <v>48</v>
      </c>
      <c r="D228" s="3" t="s">
        <v>255</v>
      </c>
      <c r="E228" s="10">
        <v>45669.335405092592</v>
      </c>
      <c r="F228" s="10">
        <v>45669.350266203714</v>
      </c>
      <c r="G228" s="10">
        <v>45669.351134259261</v>
      </c>
      <c r="H228" s="3" t="s">
        <v>736</v>
      </c>
      <c r="I228" s="10">
        <v>45669.359444444453</v>
      </c>
      <c r="J228" s="10">
        <v>45669.384444444448</v>
      </c>
      <c r="K228" s="10">
        <v>45669.384444444448</v>
      </c>
      <c r="L228" s="10">
        <v>45669.385243055563</v>
      </c>
      <c r="M228" s="11">
        <f t="shared" si="9"/>
        <v>1.5729166669188999E-2</v>
      </c>
      <c r="N228" s="11">
        <f t="shared" si="10"/>
        <v>3.4108796302461997E-2</v>
      </c>
      <c r="O228" s="10">
        <v>45669.358576388891</v>
      </c>
      <c r="P228" s="11">
        <f t="shared" si="11"/>
        <v>8.6805556202307343E-4</v>
      </c>
      <c r="Q228" s="12" t="s">
        <v>766</v>
      </c>
    </row>
    <row r="229" spans="1:17" ht="25.5" x14ac:dyDescent="0.45">
      <c r="A229" s="3" t="s">
        <v>767</v>
      </c>
      <c r="B229" s="3" t="s">
        <v>213</v>
      </c>
      <c r="C229" s="9">
        <v>80</v>
      </c>
      <c r="D229" s="3" t="s">
        <v>247</v>
      </c>
      <c r="E229" s="10">
        <v>45669.394363425927</v>
      </c>
      <c r="F229" s="10">
        <v>45669.403113425928</v>
      </c>
      <c r="G229" s="10">
        <v>45669.404270833344</v>
      </c>
      <c r="H229" s="3" t="s">
        <v>731</v>
      </c>
      <c r="I229" s="10">
        <v>45669.418206018519</v>
      </c>
      <c r="J229" s="10">
        <v>45669.440428240741</v>
      </c>
      <c r="K229" s="10">
        <v>45669.440428240741</v>
      </c>
      <c r="L229" s="10">
        <v>45669.44127314815</v>
      </c>
      <c r="M229" s="11">
        <f t="shared" si="9"/>
        <v>9.9074074169038795E-3</v>
      </c>
      <c r="N229" s="11">
        <f t="shared" si="10"/>
        <v>3.700231480615912E-2</v>
      </c>
      <c r="O229" s="10">
        <v>45669.417337962957</v>
      </c>
      <c r="P229" s="11">
        <f t="shared" si="11"/>
        <v>8.6805556202307343E-4</v>
      </c>
      <c r="Q229" s="12" t="s">
        <v>768</v>
      </c>
    </row>
    <row r="230" spans="1:17" ht="25.5" x14ac:dyDescent="0.45">
      <c r="A230" s="3" t="s">
        <v>769</v>
      </c>
      <c r="B230" s="3" t="s">
        <v>213</v>
      </c>
      <c r="C230" s="9">
        <v>48</v>
      </c>
      <c r="D230" s="3" t="s">
        <v>283</v>
      </c>
      <c r="E230" s="10">
        <v>45669.394363425927</v>
      </c>
      <c r="F230" s="10">
        <v>45669.404270833344</v>
      </c>
      <c r="G230" s="10">
        <v>45669.405717592592</v>
      </c>
      <c r="H230" s="3" t="s">
        <v>755</v>
      </c>
      <c r="I230" s="10">
        <v>45669.81459490741</v>
      </c>
      <c r="J230" s="10">
        <v>45669.847928240742</v>
      </c>
      <c r="K230" s="10">
        <v>45669.847928240742</v>
      </c>
      <c r="L230" s="10">
        <v>45669.848877314813</v>
      </c>
      <c r="M230" s="11">
        <f t="shared" si="9"/>
        <v>1.1354166665114462E-2</v>
      </c>
      <c r="N230" s="11">
        <f t="shared" si="10"/>
        <v>0.44315972222102573</v>
      </c>
      <c r="O230" s="10">
        <v>45669.413171296299</v>
      </c>
      <c r="P230" s="11">
        <f t="shared" si="11"/>
        <v>0.40142361111065838</v>
      </c>
      <c r="Q230" s="12" t="s">
        <v>770</v>
      </c>
    </row>
    <row r="231" spans="1:17" x14ac:dyDescent="0.45">
      <c r="A231" s="3" t="s">
        <v>771</v>
      </c>
      <c r="B231" s="3" t="s">
        <v>213</v>
      </c>
      <c r="C231" s="9">
        <v>48</v>
      </c>
      <c r="D231" s="3" t="s">
        <v>247</v>
      </c>
      <c r="E231" s="10">
        <v>45669.394363425927</v>
      </c>
      <c r="F231" s="10">
        <v>45669.405717592592</v>
      </c>
      <c r="G231" s="10">
        <v>45669.406574074077</v>
      </c>
      <c r="H231" s="3"/>
      <c r="I231" s="10"/>
      <c r="J231" s="10"/>
      <c r="K231" s="10"/>
      <c r="L231" s="10"/>
      <c r="M231" s="11">
        <f t="shared" si="9"/>
        <v>1.2210648150357883E-2</v>
      </c>
      <c r="N231" s="11" t="str">
        <f t="shared" si="10"/>
        <v/>
      </c>
      <c r="O231" s="10">
        <v>45669.412326388891</v>
      </c>
      <c r="P231" s="11" t="str">
        <f t="shared" si="11"/>
        <v/>
      </c>
      <c r="Q231" s="12"/>
    </row>
    <row r="232" spans="1:17" ht="25.5" x14ac:dyDescent="0.45">
      <c r="A232" s="3" t="s">
        <v>772</v>
      </c>
      <c r="B232" s="3" t="s">
        <v>214</v>
      </c>
      <c r="C232" s="9">
        <v>32</v>
      </c>
      <c r="D232" s="3" t="s">
        <v>354</v>
      </c>
      <c r="E232" s="10">
        <v>45669.424108796287</v>
      </c>
      <c r="F232" s="10">
        <v>45669.430960648147</v>
      </c>
      <c r="G232" s="10">
        <v>45669.43209490741</v>
      </c>
      <c r="H232" s="3" t="s">
        <v>723</v>
      </c>
      <c r="I232" s="10">
        <v>45669.44568287037</v>
      </c>
      <c r="J232" s="10">
        <v>45669.467905092592</v>
      </c>
      <c r="K232" s="10">
        <v>45669.467905092592</v>
      </c>
      <c r="L232" s="10">
        <v>45669.4687962963</v>
      </c>
      <c r="M232" s="11">
        <f t="shared" si="9"/>
        <v>7.9861111225909553E-3</v>
      </c>
      <c r="N232" s="11">
        <f t="shared" si="10"/>
        <v>3.6701388889923692E-2</v>
      </c>
      <c r="O232" s="10">
        <v>45669.437824074077</v>
      </c>
      <c r="P232" s="11">
        <f t="shared" si="11"/>
        <v>7.8587962925666943E-3</v>
      </c>
      <c r="Q232" s="12" t="s">
        <v>773</v>
      </c>
    </row>
    <row r="233" spans="1:17" x14ac:dyDescent="0.45">
      <c r="A233" s="3" t="s">
        <v>774</v>
      </c>
      <c r="B233" s="3" t="s">
        <v>214</v>
      </c>
      <c r="C233" s="9">
        <v>32</v>
      </c>
      <c r="D233" s="3" t="s">
        <v>255</v>
      </c>
      <c r="E233" s="10">
        <v>45669.424108796287</v>
      </c>
      <c r="F233" s="10">
        <v>45669.43209490741</v>
      </c>
      <c r="G233" s="10">
        <v>45669.432986111111</v>
      </c>
      <c r="H233" s="3"/>
      <c r="I233" s="10"/>
      <c r="J233" s="10"/>
      <c r="K233" s="10"/>
      <c r="L233" s="10"/>
      <c r="M233" s="11">
        <f t="shared" si="9"/>
        <v>8.8773148236214183E-3</v>
      </c>
      <c r="N233" s="11" t="str">
        <f t="shared" si="10"/>
        <v/>
      </c>
      <c r="O233" s="10">
        <v>45669.436747685177</v>
      </c>
      <c r="P233" s="11" t="str">
        <f t="shared" si="11"/>
        <v/>
      </c>
      <c r="Q233" s="12"/>
    </row>
    <row r="234" spans="1:17" ht="25.5" x14ac:dyDescent="0.45">
      <c r="A234" s="3" t="s">
        <v>775</v>
      </c>
      <c r="B234" s="3" t="s">
        <v>214</v>
      </c>
      <c r="C234" s="9">
        <v>64</v>
      </c>
      <c r="D234" s="3" t="s">
        <v>354</v>
      </c>
      <c r="E234" s="10">
        <v>45669.424108796287</v>
      </c>
      <c r="F234" s="10">
        <v>45669.432986111111</v>
      </c>
      <c r="G234" s="10">
        <v>45669.434189814812</v>
      </c>
      <c r="H234" s="3" t="s">
        <v>723</v>
      </c>
      <c r="I234" s="10">
        <v>45669.44568287037</v>
      </c>
      <c r="J234" s="10">
        <v>45669.467905092592</v>
      </c>
      <c r="K234" s="10">
        <v>45669.467905092592</v>
      </c>
      <c r="L234" s="10">
        <v>45669.4687962963</v>
      </c>
      <c r="M234" s="11">
        <f t="shared" si="9"/>
        <v>1.008101852494292E-2</v>
      </c>
      <c r="N234" s="11">
        <f t="shared" si="10"/>
        <v>3.4606481487571727E-2</v>
      </c>
      <c r="O234" s="10">
        <v>45669.444837962961</v>
      </c>
      <c r="P234" s="11">
        <f t="shared" si="11"/>
        <v>8.4490740846376866E-4</v>
      </c>
      <c r="Q234" s="12" t="s">
        <v>776</v>
      </c>
    </row>
    <row r="235" spans="1:17" ht="25.5" x14ac:dyDescent="0.45">
      <c r="A235" s="3" t="s">
        <v>777</v>
      </c>
      <c r="B235" s="3" t="s">
        <v>215</v>
      </c>
      <c r="C235" s="9">
        <v>80</v>
      </c>
      <c r="D235" s="3" t="s">
        <v>263</v>
      </c>
      <c r="E235" s="10">
        <v>45669.459641203714</v>
      </c>
      <c r="F235" s="10">
        <v>45669.468391203707</v>
      </c>
      <c r="G235" s="10">
        <v>45669.469699074078</v>
      </c>
      <c r="H235" s="3" t="s">
        <v>778</v>
      </c>
      <c r="I235" s="10">
        <v>45669.483391203707</v>
      </c>
      <c r="J235" s="10">
        <v>45669.508391203701</v>
      </c>
      <c r="K235" s="10">
        <v>45669.508391203701</v>
      </c>
      <c r="L235" s="10">
        <v>45669.509317129632</v>
      </c>
      <c r="M235" s="11">
        <f t="shared" si="9"/>
        <v>1.0057870364107657E-2</v>
      </c>
      <c r="N235" s="11">
        <f t="shared" si="10"/>
        <v>3.9618055554456078E-2</v>
      </c>
      <c r="O235" s="10">
        <v>45669.478715277779</v>
      </c>
      <c r="P235" s="11">
        <f t="shared" si="11"/>
        <v>4.6759259275859222E-3</v>
      </c>
      <c r="Q235" s="12" t="s">
        <v>779</v>
      </c>
    </row>
    <row r="236" spans="1:17" x14ac:dyDescent="0.45">
      <c r="A236" s="3" t="s">
        <v>780</v>
      </c>
      <c r="B236" s="3" t="s">
        <v>215</v>
      </c>
      <c r="C236" s="9">
        <v>32</v>
      </c>
      <c r="D236" s="3" t="s">
        <v>255</v>
      </c>
      <c r="E236" s="10">
        <v>45669.459641203714</v>
      </c>
      <c r="F236" s="10">
        <v>45669.469699074078</v>
      </c>
      <c r="G236" s="10">
        <v>45669.470601851863</v>
      </c>
      <c r="H236" s="3"/>
      <c r="I236" s="10"/>
      <c r="J236" s="10"/>
      <c r="K236" s="10"/>
      <c r="L236" s="10"/>
      <c r="M236" s="11">
        <f t="shared" si="9"/>
        <v>1.096064814919373E-2</v>
      </c>
      <c r="N236" s="11" t="str">
        <f t="shared" si="10"/>
        <v/>
      </c>
      <c r="O236" s="10">
        <v>45669.47583333333</v>
      </c>
      <c r="P236" s="11" t="str">
        <f t="shared" si="11"/>
        <v/>
      </c>
      <c r="Q236" s="12"/>
    </row>
    <row r="237" spans="1:17" ht="25.5" x14ac:dyDescent="0.45">
      <c r="A237" s="3" t="s">
        <v>781</v>
      </c>
      <c r="B237" s="3" t="s">
        <v>215</v>
      </c>
      <c r="C237" s="9">
        <v>64</v>
      </c>
      <c r="D237" s="3" t="s">
        <v>263</v>
      </c>
      <c r="E237" s="10">
        <v>45669.459641203714</v>
      </c>
      <c r="F237" s="10">
        <v>45669.470601851863</v>
      </c>
      <c r="G237" s="10">
        <v>45669.471875000003</v>
      </c>
      <c r="H237" s="3" t="s">
        <v>778</v>
      </c>
      <c r="I237" s="10">
        <v>45669.483391203707</v>
      </c>
      <c r="J237" s="10">
        <v>45669.508391203701</v>
      </c>
      <c r="K237" s="10">
        <v>45669.508391203701</v>
      </c>
      <c r="L237" s="10">
        <v>45669.509317129632</v>
      </c>
      <c r="M237" s="11">
        <f t="shared" si="9"/>
        <v>1.2233796289365273E-2</v>
      </c>
      <c r="N237" s="11">
        <f t="shared" si="10"/>
        <v>3.7442129629198462E-2</v>
      </c>
      <c r="O237" s="10">
        <v>45669.482523148137</v>
      </c>
      <c r="P237" s="11">
        <f t="shared" si="11"/>
        <v>8.6805556929903105E-4</v>
      </c>
      <c r="Q237" s="12" t="s">
        <v>782</v>
      </c>
    </row>
    <row r="238" spans="1:17" ht="25.5" x14ac:dyDescent="0.45">
      <c r="A238" s="3" t="s">
        <v>783</v>
      </c>
      <c r="B238" s="3" t="s">
        <v>216</v>
      </c>
      <c r="C238" s="9">
        <v>64</v>
      </c>
      <c r="D238" s="3" t="s">
        <v>237</v>
      </c>
      <c r="E238" s="10">
        <v>45669.493668981479</v>
      </c>
      <c r="F238" s="10">
        <v>45669.50172453704</v>
      </c>
      <c r="G238" s="10">
        <v>45669.503125000003</v>
      </c>
      <c r="H238" s="3" t="s">
        <v>747</v>
      </c>
      <c r="I238" s="10">
        <v>45669.51462962963</v>
      </c>
      <c r="J238" s="10">
        <v>45669.539629629631</v>
      </c>
      <c r="K238" s="10">
        <v>45669.539629629631</v>
      </c>
      <c r="L238" s="10">
        <v>45669.540358796286</v>
      </c>
      <c r="M238" s="11">
        <f t="shared" si="9"/>
        <v>9.456018524360843E-3</v>
      </c>
      <c r="N238" s="11">
        <f t="shared" si="10"/>
        <v>3.7233796283544507E-2</v>
      </c>
      <c r="O238" s="10">
        <v>45669.513761574082</v>
      </c>
      <c r="P238" s="11">
        <f t="shared" si="11"/>
        <v>8.6805554747115821E-4</v>
      </c>
      <c r="Q238" s="12" t="s">
        <v>784</v>
      </c>
    </row>
    <row r="239" spans="1:17" x14ac:dyDescent="0.45">
      <c r="A239" s="3" t="s">
        <v>785</v>
      </c>
      <c r="B239" s="3" t="s">
        <v>216</v>
      </c>
      <c r="C239" s="9">
        <v>48</v>
      </c>
      <c r="D239" s="3" t="s">
        <v>350</v>
      </c>
      <c r="E239" s="10">
        <v>45669.493668981479</v>
      </c>
      <c r="F239" s="10">
        <v>45669.503125000003</v>
      </c>
      <c r="G239" s="10">
        <v>45669.504374999997</v>
      </c>
      <c r="H239" s="3"/>
      <c r="I239" s="10"/>
      <c r="J239" s="10"/>
      <c r="K239" s="10"/>
      <c r="L239" s="10"/>
      <c r="M239" s="11">
        <f t="shared" si="9"/>
        <v>1.0706018518249039E-2</v>
      </c>
      <c r="N239" s="11" t="str">
        <f t="shared" si="10"/>
        <v/>
      </c>
      <c r="O239" s="10">
        <v>45669.510115740741</v>
      </c>
      <c r="P239" s="11" t="str">
        <f t="shared" si="11"/>
        <v/>
      </c>
      <c r="Q239" s="12"/>
    </row>
    <row r="240" spans="1:17" ht="25.5" x14ac:dyDescent="0.45">
      <c r="A240" s="3" t="s">
        <v>786</v>
      </c>
      <c r="B240" s="3" t="s">
        <v>216</v>
      </c>
      <c r="C240" s="9">
        <v>64</v>
      </c>
      <c r="D240" s="3" t="s">
        <v>237</v>
      </c>
      <c r="E240" s="10">
        <v>45669.493668981479</v>
      </c>
      <c r="F240" s="10">
        <v>45669.504374999997</v>
      </c>
      <c r="G240" s="10">
        <v>45669.505798611113</v>
      </c>
      <c r="H240" s="3" t="s">
        <v>787</v>
      </c>
      <c r="I240" s="10">
        <v>45669.686840277784</v>
      </c>
      <c r="J240" s="10">
        <v>45669.706284722219</v>
      </c>
      <c r="K240" s="10">
        <v>45669.706284722219</v>
      </c>
      <c r="L240" s="10">
        <v>45669.707083333327</v>
      </c>
      <c r="M240" s="11">
        <f t="shared" si="9"/>
        <v>1.212962963472819E-2</v>
      </c>
      <c r="N240" s="11">
        <f t="shared" si="10"/>
        <v>0.20128472221404081</v>
      </c>
      <c r="O240" s="10">
        <v>45669.513159722221</v>
      </c>
      <c r="P240" s="11">
        <f t="shared" si="11"/>
        <v>0.17368055556289619</v>
      </c>
      <c r="Q240" s="12" t="s">
        <v>788</v>
      </c>
    </row>
    <row r="241" spans="1:17" ht="25.5" x14ac:dyDescent="0.45">
      <c r="A241" s="3" t="s">
        <v>789</v>
      </c>
      <c r="B241" s="3" t="s">
        <v>217</v>
      </c>
      <c r="C241" s="9">
        <v>48</v>
      </c>
      <c r="D241" s="3" t="s">
        <v>237</v>
      </c>
      <c r="E241" s="10">
        <v>45669.668587962973</v>
      </c>
      <c r="F241" s="10">
        <v>45669.676400462973</v>
      </c>
      <c r="G241" s="10">
        <v>45669.677789351852</v>
      </c>
      <c r="H241" s="3" t="s">
        <v>787</v>
      </c>
      <c r="I241" s="10">
        <v>45669.686840277784</v>
      </c>
      <c r="J241" s="10">
        <v>45669.706284722219</v>
      </c>
      <c r="K241" s="10">
        <v>45669.706284722219</v>
      </c>
      <c r="L241" s="10">
        <v>45669.707083333327</v>
      </c>
      <c r="M241" s="11">
        <f t="shared" si="9"/>
        <v>9.2013888788642362E-3</v>
      </c>
      <c r="N241" s="11">
        <f t="shared" si="10"/>
        <v>2.9293981475348119E-2</v>
      </c>
      <c r="O241" s="10">
        <v>45669.685972222222</v>
      </c>
      <c r="P241" s="11">
        <f t="shared" si="11"/>
        <v>8.6805556202307343E-4</v>
      </c>
      <c r="Q241" s="12" t="s">
        <v>790</v>
      </c>
    </row>
    <row r="242" spans="1:17" ht="51" x14ac:dyDescent="0.45">
      <c r="A242" s="3" t="s">
        <v>791</v>
      </c>
      <c r="B242" s="3" t="s">
        <v>217</v>
      </c>
      <c r="C242" s="9">
        <v>32</v>
      </c>
      <c r="D242" s="3" t="s">
        <v>354</v>
      </c>
      <c r="E242" s="10">
        <v>45669.668587962973</v>
      </c>
      <c r="F242" s="10">
        <v>45669.677789351852</v>
      </c>
      <c r="G242" s="10">
        <v>45669.679108796299</v>
      </c>
      <c r="H242" s="3" t="s">
        <v>792</v>
      </c>
      <c r="I242" s="10">
        <v>45669.942233796297</v>
      </c>
      <c r="J242" s="10">
        <v>45669.995011574072</v>
      </c>
      <c r="K242" s="10">
        <v>45669.995011574072</v>
      </c>
      <c r="L242" s="10">
        <v>45669.996111111112</v>
      </c>
      <c r="M242" s="11">
        <f t="shared" si="9"/>
        <v>1.0520833326154388E-2</v>
      </c>
      <c r="N242" s="11">
        <f t="shared" si="10"/>
        <v>0.31700231481227092</v>
      </c>
      <c r="O242" s="10">
        <v>45669.683240740742</v>
      </c>
      <c r="P242" s="11">
        <f t="shared" si="11"/>
        <v>0.25899305555503815</v>
      </c>
      <c r="Q242" s="12" t="s">
        <v>793</v>
      </c>
    </row>
    <row r="243" spans="1:17" x14ac:dyDescent="0.45">
      <c r="A243" s="3" t="s">
        <v>794</v>
      </c>
      <c r="B243" s="3" t="s">
        <v>217</v>
      </c>
      <c r="C243" s="9">
        <v>64</v>
      </c>
      <c r="D243" s="3" t="s">
        <v>237</v>
      </c>
      <c r="E243" s="10">
        <v>45669.668587962973</v>
      </c>
      <c r="F243" s="10">
        <v>45669.679108796299</v>
      </c>
      <c r="G243" s="10">
        <v>45669.680381944447</v>
      </c>
      <c r="H243" s="3"/>
      <c r="I243" s="10"/>
      <c r="J243" s="10"/>
      <c r="K243" s="10"/>
      <c r="L243" s="10"/>
      <c r="M243" s="11">
        <f t="shared" si="9"/>
        <v>1.1793981473601889E-2</v>
      </c>
      <c r="N243" s="11" t="str">
        <f t="shared" si="10"/>
        <v/>
      </c>
      <c r="O243" s="10">
        <v>45669.687743055547</v>
      </c>
      <c r="P243" s="11" t="str">
        <f t="shared" si="11"/>
        <v/>
      </c>
      <c r="Q243" s="12"/>
    </row>
    <row r="244" spans="1:17" ht="51" x14ac:dyDescent="0.45">
      <c r="A244" s="3" t="s">
        <v>795</v>
      </c>
      <c r="B244" s="3" t="s">
        <v>218</v>
      </c>
      <c r="C244" s="9">
        <v>48</v>
      </c>
      <c r="D244" s="3" t="s">
        <v>354</v>
      </c>
      <c r="E244" s="10">
        <v>45669.793622685182</v>
      </c>
      <c r="F244" s="10">
        <v>45669.79928240741</v>
      </c>
      <c r="G244" s="10">
        <v>45669.80064814815</v>
      </c>
      <c r="H244" s="3" t="s">
        <v>792</v>
      </c>
      <c r="I244" s="10">
        <v>45669.942233796297</v>
      </c>
      <c r="J244" s="10">
        <v>45669.995011574072</v>
      </c>
      <c r="K244" s="10">
        <v>45669.995011574072</v>
      </c>
      <c r="L244" s="10">
        <v>45669.996111111112</v>
      </c>
      <c r="M244" s="11">
        <f t="shared" si="9"/>
        <v>7.0254629681585357E-3</v>
      </c>
      <c r="N244" s="11">
        <f t="shared" si="10"/>
        <v>0.19546296296175569</v>
      </c>
      <c r="O244" s="10">
        <v>45669.808819444443</v>
      </c>
      <c r="P244" s="11">
        <f t="shared" si="11"/>
        <v>0.13341435185429873</v>
      </c>
      <c r="Q244" s="12" t="s">
        <v>796</v>
      </c>
    </row>
    <row r="245" spans="1:17" ht="25.5" x14ac:dyDescent="0.45">
      <c r="A245" s="3" t="s">
        <v>797</v>
      </c>
      <c r="B245" s="3" t="s">
        <v>218</v>
      </c>
      <c r="C245" s="9">
        <v>48</v>
      </c>
      <c r="D245" s="3" t="s">
        <v>283</v>
      </c>
      <c r="E245" s="10">
        <v>45669.793622685182</v>
      </c>
      <c r="F245" s="10">
        <v>45669.80064814815</v>
      </c>
      <c r="G245" s="10">
        <v>45669.802233796298</v>
      </c>
      <c r="H245" s="3" t="s">
        <v>755</v>
      </c>
      <c r="I245" s="10">
        <v>45669.81459490741</v>
      </c>
      <c r="J245" s="10">
        <v>45669.847928240742</v>
      </c>
      <c r="K245" s="10">
        <v>45669.847928240742</v>
      </c>
      <c r="L245" s="10">
        <v>45669.848877314813</v>
      </c>
      <c r="M245" s="11">
        <f t="shared" si="9"/>
        <v>8.6111111158970743E-3</v>
      </c>
      <c r="N245" s="11">
        <f t="shared" si="10"/>
        <v>4.6643518515338656E-2</v>
      </c>
      <c r="O245" s="10">
        <v>45669.810439814813</v>
      </c>
      <c r="P245" s="11">
        <f t="shared" si="11"/>
        <v>4.1550925961928442E-3</v>
      </c>
      <c r="Q245" s="12" t="s">
        <v>798</v>
      </c>
    </row>
    <row r="246" spans="1:17" ht="25.5" x14ac:dyDescent="0.45">
      <c r="A246" s="3" t="s">
        <v>799</v>
      </c>
      <c r="B246" s="3" t="s">
        <v>218</v>
      </c>
      <c r="C246" s="9">
        <v>64</v>
      </c>
      <c r="D246" s="3" t="s">
        <v>283</v>
      </c>
      <c r="E246" s="10">
        <v>45669.793622685182</v>
      </c>
      <c r="F246" s="10">
        <v>45669.80064814815</v>
      </c>
      <c r="G246" s="10">
        <v>45669.802233796298</v>
      </c>
      <c r="H246" s="3" t="s">
        <v>755</v>
      </c>
      <c r="I246" s="10">
        <v>45669.81459490741</v>
      </c>
      <c r="J246" s="10">
        <v>45669.847928240742</v>
      </c>
      <c r="K246" s="10">
        <v>45669.847928240742</v>
      </c>
      <c r="L246" s="10">
        <v>45669.848877314813</v>
      </c>
      <c r="M246" s="11">
        <f t="shared" si="9"/>
        <v>8.6111111158970743E-3</v>
      </c>
      <c r="N246" s="11">
        <f t="shared" si="10"/>
        <v>4.6643518515338656E-2</v>
      </c>
      <c r="O246" s="10">
        <v>45669.813726851848</v>
      </c>
      <c r="P246" s="11">
        <f t="shared" si="11"/>
        <v>8.6805556202307343E-4</v>
      </c>
      <c r="Q246" s="12" t="s">
        <v>800</v>
      </c>
    </row>
    <row r="247" spans="1:17" ht="38.25" x14ac:dyDescent="0.45">
      <c r="A247" s="3" t="s">
        <v>801</v>
      </c>
      <c r="B247" s="3" t="s">
        <v>219</v>
      </c>
      <c r="C247" s="9">
        <v>32</v>
      </c>
      <c r="D247" s="3" t="s">
        <v>354</v>
      </c>
      <c r="E247" s="10">
        <v>45669.918773148151</v>
      </c>
      <c r="F247" s="10">
        <v>45669.925636574073</v>
      </c>
      <c r="G247" s="10">
        <v>45669.927407407413</v>
      </c>
      <c r="H247" s="3" t="s">
        <v>792</v>
      </c>
      <c r="I247" s="10">
        <v>45669.942233796297</v>
      </c>
      <c r="J247" s="10">
        <v>45669.995011574072</v>
      </c>
      <c r="K247" s="10">
        <v>45669.995011574072</v>
      </c>
      <c r="L247" s="10">
        <v>45669.996111111112</v>
      </c>
      <c r="M247" s="11">
        <f t="shared" si="9"/>
        <v>8.6342592621804215E-3</v>
      </c>
      <c r="N247" s="11">
        <f t="shared" si="10"/>
        <v>6.8703703698702157E-2</v>
      </c>
      <c r="O247" s="10">
        <v>45669.933159722219</v>
      </c>
      <c r="P247" s="11">
        <f t="shared" si="11"/>
        <v>9.0740740779438056E-3</v>
      </c>
      <c r="Q247" s="12" t="s">
        <v>802</v>
      </c>
    </row>
    <row r="248" spans="1:17" ht="25.5" x14ac:dyDescent="0.45">
      <c r="A248" s="3" t="s">
        <v>803</v>
      </c>
      <c r="B248" s="3" t="s">
        <v>219</v>
      </c>
      <c r="C248" s="9">
        <v>48</v>
      </c>
      <c r="D248" s="3" t="s">
        <v>354</v>
      </c>
      <c r="E248" s="10">
        <v>45669.918773148151</v>
      </c>
      <c r="F248" s="10">
        <v>45669.925636574073</v>
      </c>
      <c r="G248" s="10">
        <v>45669.927407407413</v>
      </c>
      <c r="H248" s="3" t="s">
        <v>792</v>
      </c>
      <c r="I248" s="10">
        <v>45669.942233796297</v>
      </c>
      <c r="J248" s="10">
        <v>45669.995011574072</v>
      </c>
      <c r="K248" s="10">
        <v>45669.995011574072</v>
      </c>
      <c r="L248" s="10">
        <v>45669.996111111112</v>
      </c>
      <c r="M248" s="11">
        <f t="shared" si="9"/>
        <v>8.6342592621804215E-3</v>
      </c>
      <c r="N248" s="11">
        <f t="shared" si="10"/>
        <v>6.8703703698702157E-2</v>
      </c>
      <c r="O248" s="10">
        <v>45669.93644675926</v>
      </c>
      <c r="P248" s="11">
        <f t="shared" si="11"/>
        <v>5.7870370364980772E-3</v>
      </c>
      <c r="Q248" s="12" t="s">
        <v>804</v>
      </c>
    </row>
    <row r="249" spans="1:17" ht="25.5" x14ac:dyDescent="0.45">
      <c r="A249" s="3" t="s">
        <v>805</v>
      </c>
      <c r="B249" s="3" t="s">
        <v>219</v>
      </c>
      <c r="C249" s="9">
        <v>48</v>
      </c>
      <c r="D249" s="3" t="s">
        <v>354</v>
      </c>
      <c r="E249" s="10">
        <v>45669.918773148151</v>
      </c>
      <c r="F249" s="10">
        <v>45669.925636574073</v>
      </c>
      <c r="G249" s="10">
        <v>45669.927407407413</v>
      </c>
      <c r="H249" s="3" t="s">
        <v>792</v>
      </c>
      <c r="I249" s="10">
        <v>45669.942233796297</v>
      </c>
      <c r="J249" s="10">
        <v>45669.995011574072</v>
      </c>
      <c r="K249" s="10">
        <v>45669.995011574072</v>
      </c>
      <c r="L249" s="10">
        <v>45669.996111111112</v>
      </c>
      <c r="M249" s="11">
        <f t="shared" si="9"/>
        <v>8.6342592621804215E-3</v>
      </c>
      <c r="N249" s="11">
        <f t="shared" si="10"/>
        <v>6.8703703698702157E-2</v>
      </c>
      <c r="O249" s="10">
        <v>45669.937291666669</v>
      </c>
      <c r="P249" s="11">
        <f t="shared" si="11"/>
        <v>4.9421296280343086E-3</v>
      </c>
      <c r="Q249" s="12" t="s">
        <v>806</v>
      </c>
    </row>
    <row r="250" spans="1:17" ht="38.25" x14ac:dyDescent="0.45">
      <c r="A250" s="3" t="s">
        <v>807</v>
      </c>
      <c r="B250" s="3" t="s">
        <v>219</v>
      </c>
      <c r="C250" s="9">
        <v>32</v>
      </c>
      <c r="D250" s="3" t="s">
        <v>354</v>
      </c>
      <c r="E250" s="10">
        <v>45669.918773148151</v>
      </c>
      <c r="F250" s="10">
        <v>45669.925636574073</v>
      </c>
      <c r="G250" s="10">
        <v>45669.927407407413</v>
      </c>
      <c r="H250" s="3" t="s">
        <v>792</v>
      </c>
      <c r="I250" s="10">
        <v>45669.942233796297</v>
      </c>
      <c r="J250" s="10">
        <v>45669.995011574072</v>
      </c>
      <c r="K250" s="10">
        <v>45669.995011574072</v>
      </c>
      <c r="L250" s="10">
        <v>45669.996111111112</v>
      </c>
      <c r="M250" s="11">
        <f t="shared" si="9"/>
        <v>8.6342592621804215E-3</v>
      </c>
      <c r="N250" s="11">
        <f t="shared" si="10"/>
        <v>6.8703703698702157E-2</v>
      </c>
      <c r="O250" s="10">
        <v>45669.935185185182</v>
      </c>
      <c r="P250" s="11">
        <f t="shared" si="11"/>
        <v>7.0486111144418828E-3</v>
      </c>
      <c r="Q250" s="12" t="s">
        <v>808</v>
      </c>
    </row>
    <row r="251" spans="1:17" ht="25.5" x14ac:dyDescent="0.45">
      <c r="A251" s="3" t="s">
        <v>809</v>
      </c>
      <c r="B251" s="3" t="s">
        <v>219</v>
      </c>
      <c r="C251" s="9">
        <v>64</v>
      </c>
      <c r="D251" s="3" t="s">
        <v>354</v>
      </c>
      <c r="E251" s="10">
        <v>45669.918773148151</v>
      </c>
      <c r="F251" s="10">
        <v>45669.925636574073</v>
      </c>
      <c r="G251" s="10">
        <v>45669.927407407413</v>
      </c>
      <c r="H251" s="3" t="s">
        <v>792</v>
      </c>
      <c r="I251" s="10">
        <v>45669.942233796297</v>
      </c>
      <c r="J251" s="10">
        <v>45669.995011574072</v>
      </c>
      <c r="K251" s="10">
        <v>45669.995011574072</v>
      </c>
      <c r="L251" s="10">
        <v>45669.996111111112</v>
      </c>
      <c r="M251" s="11">
        <f t="shared" si="9"/>
        <v>8.6342592621804215E-3</v>
      </c>
      <c r="N251" s="11">
        <f t="shared" si="10"/>
        <v>6.8703703698702157E-2</v>
      </c>
      <c r="O251" s="10">
        <v>45669.941388888888</v>
      </c>
      <c r="P251" s="11">
        <f t="shared" si="11"/>
        <v>8.4490740846376866E-4</v>
      </c>
      <c r="Q251" s="12" t="s">
        <v>810</v>
      </c>
    </row>
  </sheetData>
  <autoFilter ref="A1:Q25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79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4" width="8.19921875" customWidth="1"/>
    <col min="5" max="10" width="19" customWidth="1"/>
    <col min="11" max="15" width="8.19921875" customWidth="1"/>
  </cols>
  <sheetData>
    <row r="1" spans="1:15" ht="45" customHeight="1" x14ac:dyDescent="0.45">
      <c r="A1" s="1" t="s">
        <v>125</v>
      </c>
      <c r="B1" s="1" t="s">
        <v>221</v>
      </c>
      <c r="C1" s="1" t="s">
        <v>126</v>
      </c>
      <c r="D1" s="1" t="s">
        <v>127</v>
      </c>
      <c r="E1" s="1" t="s">
        <v>811</v>
      </c>
      <c r="F1" s="1" t="s">
        <v>225</v>
      </c>
      <c r="G1" s="1" t="s">
        <v>226</v>
      </c>
      <c r="H1" s="1" t="s">
        <v>812</v>
      </c>
      <c r="I1" s="1" t="s">
        <v>227</v>
      </c>
      <c r="J1" s="1" t="s">
        <v>228</v>
      </c>
      <c r="K1" s="1" t="s">
        <v>61</v>
      </c>
      <c r="L1" s="1" t="s">
        <v>64</v>
      </c>
      <c r="M1" s="1" t="s">
        <v>67</v>
      </c>
      <c r="N1" s="1" t="s">
        <v>70</v>
      </c>
      <c r="O1" s="1" t="s">
        <v>73</v>
      </c>
    </row>
    <row r="2" spans="1:15" x14ac:dyDescent="0.45">
      <c r="A2" s="3" t="s">
        <v>244</v>
      </c>
      <c r="B2" s="3" t="s">
        <v>237</v>
      </c>
      <c r="C2" s="9">
        <v>112</v>
      </c>
      <c r="D2" s="3" t="s">
        <v>813</v>
      </c>
      <c r="E2" s="10">
        <v>45663.229571759257</v>
      </c>
      <c r="F2" s="10">
        <v>45663.231180555558</v>
      </c>
      <c r="G2" s="10">
        <v>45663.250625000001</v>
      </c>
      <c r="H2" s="10">
        <v>45663.250625000001</v>
      </c>
      <c r="I2" s="10">
        <v>45663.250625000001</v>
      </c>
      <c r="J2" s="10">
        <v>45663.251342592594</v>
      </c>
      <c r="K2" s="11">
        <f t="shared" ref="K2:K33" si="0">IF(AND(ISNUMBER(E2),ISNUMBER(F2)),(F2-E2),"")</f>
        <v>1.6087963012978435E-3</v>
      </c>
      <c r="L2" s="11">
        <f t="shared" ref="L2:L33" si="1">IF(AND(ISNUMBER(F2),ISNUMBER(G2)),(G2-F2),"")</f>
        <v>1.9444444442342501E-2</v>
      </c>
      <c r="M2" s="11">
        <f t="shared" ref="M2:M33" si="2">IF(AND(ISNUMBER(H2),ISNUMBER(I2)),(I2-H2),"")</f>
        <v>0</v>
      </c>
      <c r="N2" s="11">
        <f t="shared" ref="N2:N33" si="3">IF(AND(ISNUMBER(I2),ISNUMBER(J2)),(J2-I2),"")</f>
        <v>7.1759259299142286E-4</v>
      </c>
      <c r="O2" s="11">
        <f t="shared" ref="O2:O33" si="4">IF(AND(ISNUMBER(E2),ISNUMBER(J2)),(J2-E2),"")</f>
        <v>2.1770833336631767E-2</v>
      </c>
    </row>
    <row r="3" spans="1:15" x14ac:dyDescent="0.45">
      <c r="A3" s="3" t="s">
        <v>232</v>
      </c>
      <c r="B3" s="3" t="s">
        <v>231</v>
      </c>
      <c r="C3" s="9">
        <v>112</v>
      </c>
      <c r="D3" s="3" t="s">
        <v>814</v>
      </c>
      <c r="E3" s="10">
        <v>45663.237685185188</v>
      </c>
      <c r="F3" s="10">
        <v>45663.23847222222</v>
      </c>
      <c r="G3" s="10">
        <v>45663.257916666669</v>
      </c>
      <c r="H3" s="10">
        <v>45663.257916666669</v>
      </c>
      <c r="I3" s="10">
        <v>45663.257916666669</v>
      </c>
      <c r="J3" s="10">
        <v>45663.258576388893</v>
      </c>
      <c r="K3" s="11">
        <f t="shared" si="0"/>
        <v>7.8703703184146434E-4</v>
      </c>
      <c r="L3" s="11">
        <f t="shared" si="1"/>
        <v>1.9444444449618459E-2</v>
      </c>
      <c r="M3" s="11">
        <f t="shared" si="2"/>
        <v>0</v>
      </c>
      <c r="N3" s="11">
        <f t="shared" si="3"/>
        <v>6.5972222364507616E-4</v>
      </c>
      <c r="O3" s="11">
        <f t="shared" si="4"/>
        <v>2.0891203705104999E-2</v>
      </c>
    </row>
    <row r="4" spans="1:15" x14ac:dyDescent="0.45">
      <c r="A4" s="3" t="s">
        <v>256</v>
      </c>
      <c r="B4" s="3" t="s">
        <v>255</v>
      </c>
      <c r="C4" s="9">
        <v>160</v>
      </c>
      <c r="D4" s="3" t="s">
        <v>813</v>
      </c>
      <c r="E4" s="10">
        <v>45663.334340277783</v>
      </c>
      <c r="F4" s="10">
        <v>45663.335185185177</v>
      </c>
      <c r="G4" s="10">
        <v>45663.362962962958</v>
      </c>
      <c r="H4" s="10">
        <v>45663.362962962958</v>
      </c>
      <c r="I4" s="10">
        <v>45663.362962962958</v>
      </c>
      <c r="J4" s="10">
        <v>45663.363796296297</v>
      </c>
      <c r="K4" s="11">
        <f t="shared" si="0"/>
        <v>8.4490739391185343E-4</v>
      </c>
      <c r="L4" s="11">
        <f t="shared" si="1"/>
        <v>2.7777777781011537E-2</v>
      </c>
      <c r="M4" s="11">
        <f t="shared" si="2"/>
        <v>0</v>
      </c>
      <c r="N4" s="11">
        <f t="shared" si="3"/>
        <v>8.3333333896007389E-4</v>
      </c>
      <c r="O4" s="11">
        <f t="shared" si="4"/>
        <v>2.9456018513883464E-2</v>
      </c>
    </row>
    <row r="5" spans="1:15" x14ac:dyDescent="0.45">
      <c r="A5" s="3" t="s">
        <v>241</v>
      </c>
      <c r="B5" s="3" t="s">
        <v>231</v>
      </c>
      <c r="C5" s="9">
        <v>128</v>
      </c>
      <c r="D5" s="3" t="s">
        <v>815</v>
      </c>
      <c r="E5" s="10">
        <v>45663.63653935185</v>
      </c>
      <c r="F5" s="10">
        <v>45663.637407407397</v>
      </c>
      <c r="G5" s="10">
        <v>45663.659629629627</v>
      </c>
      <c r="H5" s="10">
        <v>45663.659629629627</v>
      </c>
      <c r="I5" s="10">
        <v>45663.659629629627</v>
      </c>
      <c r="J5" s="10">
        <v>45663.660520833328</v>
      </c>
      <c r="K5" s="11">
        <f t="shared" si="0"/>
        <v>8.6805554747115821E-4</v>
      </c>
      <c r="L5" s="11">
        <f t="shared" si="1"/>
        <v>2.2222222229174804E-2</v>
      </c>
      <c r="M5" s="11">
        <f t="shared" si="2"/>
        <v>0</v>
      </c>
      <c r="N5" s="11">
        <f t="shared" si="3"/>
        <v>8.9120370103046298E-4</v>
      </c>
      <c r="O5" s="11">
        <f t="shared" si="4"/>
        <v>2.3981481477676425E-2</v>
      </c>
    </row>
    <row r="6" spans="1:15" x14ac:dyDescent="0.45">
      <c r="A6" s="3" t="s">
        <v>264</v>
      </c>
      <c r="B6" s="3" t="s">
        <v>263</v>
      </c>
      <c r="C6" s="9">
        <v>176</v>
      </c>
      <c r="D6" s="3" t="s">
        <v>813</v>
      </c>
      <c r="E6" s="10">
        <v>45663.636770833327</v>
      </c>
      <c r="F6" s="10">
        <v>45663.637638888889</v>
      </c>
      <c r="G6" s="10">
        <v>45663.668194444443</v>
      </c>
      <c r="H6" s="10">
        <v>45663.668194444443</v>
      </c>
      <c r="I6" s="10">
        <v>45663.668194444443</v>
      </c>
      <c r="J6" s="10">
        <v>45663.669074074067</v>
      </c>
      <c r="K6" s="11">
        <f t="shared" si="0"/>
        <v>8.6805556202307343E-4</v>
      </c>
      <c r="L6" s="11">
        <f t="shared" si="1"/>
        <v>3.0555555553291924E-2</v>
      </c>
      <c r="M6" s="11">
        <f t="shared" si="2"/>
        <v>0</v>
      </c>
      <c r="N6" s="11">
        <f t="shared" si="3"/>
        <v>8.7962962425081059E-4</v>
      </c>
      <c r="O6" s="11">
        <f t="shared" si="4"/>
        <v>3.2303240739565808E-2</v>
      </c>
    </row>
    <row r="7" spans="1:15" x14ac:dyDescent="0.45">
      <c r="A7" s="3" t="s">
        <v>248</v>
      </c>
      <c r="B7" s="3" t="s">
        <v>247</v>
      </c>
      <c r="C7" s="9">
        <v>144</v>
      </c>
      <c r="D7" s="3" t="s">
        <v>816</v>
      </c>
      <c r="E7" s="10">
        <v>45664.267048611109</v>
      </c>
      <c r="F7" s="10">
        <v>45664.267893518518</v>
      </c>
      <c r="G7" s="10">
        <v>45664.292893518519</v>
      </c>
      <c r="H7" s="10">
        <v>45664.292893518519</v>
      </c>
      <c r="I7" s="10">
        <v>45664.292893518519</v>
      </c>
      <c r="J7" s="10">
        <v>45664.293657407397</v>
      </c>
      <c r="K7" s="11">
        <f t="shared" si="0"/>
        <v>8.4490740846376866E-4</v>
      </c>
      <c r="L7" s="11">
        <f t="shared" si="1"/>
        <v>2.5000000001455192E-2</v>
      </c>
      <c r="M7" s="11">
        <f t="shared" si="2"/>
        <v>0</v>
      </c>
      <c r="N7" s="11">
        <f t="shared" si="3"/>
        <v>7.6388887828215957E-4</v>
      </c>
      <c r="O7" s="11">
        <f t="shared" si="4"/>
        <v>2.660879628820112E-2</v>
      </c>
    </row>
    <row r="8" spans="1:15" x14ac:dyDescent="0.45">
      <c r="A8" s="3" t="s">
        <v>238</v>
      </c>
      <c r="B8" s="3" t="s">
        <v>237</v>
      </c>
      <c r="C8" s="9">
        <v>192</v>
      </c>
      <c r="D8" s="3" t="s">
        <v>817</v>
      </c>
      <c r="E8" s="10">
        <v>45664.271087962959</v>
      </c>
      <c r="F8" s="10">
        <v>45664.272824074083</v>
      </c>
      <c r="G8" s="10">
        <v>45664.306157407409</v>
      </c>
      <c r="H8" s="10">
        <v>45664.306157407409</v>
      </c>
      <c r="I8" s="10">
        <v>45664.306157407409</v>
      </c>
      <c r="J8" s="10">
        <v>45664.30709490741</v>
      </c>
      <c r="K8" s="11">
        <f t="shared" si="0"/>
        <v>1.7361111240461469E-3</v>
      </c>
      <c r="L8" s="11">
        <f t="shared" si="1"/>
        <v>3.3333333325572312E-2</v>
      </c>
      <c r="M8" s="11">
        <f t="shared" si="2"/>
        <v>0</v>
      </c>
      <c r="N8" s="11">
        <f t="shared" si="3"/>
        <v>9.3750000087311491E-4</v>
      </c>
      <c r="O8" s="11">
        <f t="shared" si="4"/>
        <v>3.6006944450491574E-2</v>
      </c>
    </row>
    <row r="9" spans="1:15" x14ac:dyDescent="0.45">
      <c r="A9" s="3" t="s">
        <v>284</v>
      </c>
      <c r="B9" s="3" t="s">
        <v>283</v>
      </c>
      <c r="C9" s="9">
        <v>128</v>
      </c>
      <c r="D9" s="3" t="s">
        <v>813</v>
      </c>
      <c r="E9" s="10">
        <v>45664.28125</v>
      </c>
      <c r="F9" s="10">
        <v>45664.307893518519</v>
      </c>
      <c r="G9" s="10">
        <v>45664.33011574074</v>
      </c>
      <c r="H9" s="10">
        <v>45664.33011574074</v>
      </c>
      <c r="I9" s="10">
        <v>45664.33011574074</v>
      </c>
      <c r="J9" s="10">
        <v>45664.330868055556</v>
      </c>
      <c r="K9" s="11">
        <f t="shared" si="0"/>
        <v>2.6643518518540077E-2</v>
      </c>
      <c r="L9" s="11">
        <f t="shared" si="1"/>
        <v>2.2222222221898846E-2</v>
      </c>
      <c r="M9" s="11">
        <f t="shared" si="2"/>
        <v>0</v>
      </c>
      <c r="N9" s="11">
        <f t="shared" si="3"/>
        <v>7.5231481605442241E-4</v>
      </c>
      <c r="O9" s="11">
        <f t="shared" si="4"/>
        <v>4.9618055556493346E-2</v>
      </c>
    </row>
    <row r="10" spans="1:15" x14ac:dyDescent="0.45">
      <c r="A10" s="3" t="s">
        <v>292</v>
      </c>
      <c r="B10" s="3" t="s">
        <v>231</v>
      </c>
      <c r="C10" s="9">
        <v>112</v>
      </c>
      <c r="D10" s="3" t="s">
        <v>814</v>
      </c>
      <c r="E10" s="10">
        <v>45664.296180555553</v>
      </c>
      <c r="F10" s="10">
        <v>45664.310671296298</v>
      </c>
      <c r="G10" s="10">
        <v>45664.33011574074</v>
      </c>
      <c r="H10" s="10">
        <v>45664.33011574074</v>
      </c>
      <c r="I10" s="10">
        <v>45664.330868055556</v>
      </c>
      <c r="J10" s="10">
        <v>45664.33152777778</v>
      </c>
      <c r="K10" s="11">
        <f t="shared" si="0"/>
        <v>1.4490740744804498E-2</v>
      </c>
      <c r="L10" s="11">
        <f t="shared" si="1"/>
        <v>1.9444444442342501E-2</v>
      </c>
      <c r="M10" s="11">
        <f t="shared" si="2"/>
        <v>7.5231481605442241E-4</v>
      </c>
      <c r="N10" s="11">
        <f t="shared" si="3"/>
        <v>6.5972222364507616E-4</v>
      </c>
      <c r="O10" s="11">
        <f t="shared" si="4"/>
        <v>3.5347222226846498E-2</v>
      </c>
    </row>
    <row r="11" spans="1:15" x14ac:dyDescent="0.45">
      <c r="A11" s="3" t="s">
        <v>289</v>
      </c>
      <c r="B11" s="3" t="s">
        <v>283</v>
      </c>
      <c r="C11" s="9">
        <v>144</v>
      </c>
      <c r="D11" s="3" t="s">
        <v>815</v>
      </c>
      <c r="E11" s="10">
        <v>45664.298263888893</v>
      </c>
      <c r="F11" s="10">
        <v>45664.315694444442</v>
      </c>
      <c r="G11" s="10">
        <v>45664.340694444443</v>
      </c>
      <c r="H11" s="10">
        <v>45664.340694444443</v>
      </c>
      <c r="I11" s="10">
        <v>45664.340694444443</v>
      </c>
      <c r="J11" s="10">
        <v>45664.341631944437</v>
      </c>
      <c r="K11" s="11">
        <f t="shared" si="0"/>
        <v>1.7430555548344273E-2</v>
      </c>
      <c r="L11" s="11">
        <f t="shared" si="1"/>
        <v>2.5000000001455192E-2</v>
      </c>
      <c r="M11" s="11">
        <f t="shared" si="2"/>
        <v>0</v>
      </c>
      <c r="N11" s="11">
        <f t="shared" si="3"/>
        <v>9.374999935971573E-4</v>
      </c>
      <c r="O11" s="11">
        <f t="shared" si="4"/>
        <v>4.3368055543396622E-2</v>
      </c>
    </row>
    <row r="12" spans="1:15" x14ac:dyDescent="0.45">
      <c r="A12" s="3" t="s">
        <v>302</v>
      </c>
      <c r="B12" s="3" t="s">
        <v>231</v>
      </c>
      <c r="C12" s="9">
        <v>144</v>
      </c>
      <c r="D12" s="3" t="s">
        <v>818</v>
      </c>
      <c r="E12" s="10">
        <v>45664.309062499997</v>
      </c>
      <c r="F12" s="10">
        <v>45664.331793981481</v>
      </c>
      <c r="G12" s="10">
        <v>45664.356793981482</v>
      </c>
      <c r="H12" s="10">
        <v>45664.356793981482</v>
      </c>
      <c r="I12" s="10">
        <v>45664.356793981482</v>
      </c>
      <c r="J12" s="10">
        <v>45664.357673611114</v>
      </c>
      <c r="K12" s="11">
        <f t="shared" si="0"/>
        <v>2.273148148378823E-2</v>
      </c>
      <c r="L12" s="11">
        <f t="shared" si="1"/>
        <v>2.5000000001455192E-2</v>
      </c>
      <c r="M12" s="11">
        <f t="shared" si="2"/>
        <v>0</v>
      </c>
      <c r="N12" s="11">
        <f t="shared" si="3"/>
        <v>8.7962963152676821E-4</v>
      </c>
      <c r="O12" s="11">
        <f t="shared" si="4"/>
        <v>4.8611111116770189E-2</v>
      </c>
    </row>
    <row r="13" spans="1:15" x14ac:dyDescent="0.45">
      <c r="A13" s="3" t="s">
        <v>299</v>
      </c>
      <c r="B13" s="3" t="s">
        <v>263</v>
      </c>
      <c r="C13" s="9">
        <v>144</v>
      </c>
      <c r="D13" s="3" t="s">
        <v>819</v>
      </c>
      <c r="E13" s="10">
        <v>45664.313958333332</v>
      </c>
      <c r="F13" s="10">
        <v>45664.33185185185</v>
      </c>
      <c r="G13" s="10">
        <v>45664.356851851851</v>
      </c>
      <c r="H13" s="10">
        <v>45664.356851851851</v>
      </c>
      <c r="I13" s="10">
        <v>45664.357673611114</v>
      </c>
      <c r="J13" s="10">
        <v>45664.358541666668</v>
      </c>
      <c r="K13" s="11">
        <f t="shared" si="0"/>
        <v>1.7893518517666962E-2</v>
      </c>
      <c r="L13" s="11">
        <f t="shared" si="1"/>
        <v>2.5000000001455192E-2</v>
      </c>
      <c r="M13" s="11">
        <f t="shared" si="2"/>
        <v>8.217592621804215E-4</v>
      </c>
      <c r="N13" s="11">
        <f t="shared" si="3"/>
        <v>8.6805555474711582E-4</v>
      </c>
      <c r="O13" s="11">
        <f t="shared" si="4"/>
        <v>4.4583333336049691E-2</v>
      </c>
    </row>
    <row r="14" spans="1:15" x14ac:dyDescent="0.45">
      <c r="A14" s="3" t="s">
        <v>320</v>
      </c>
      <c r="B14" s="3" t="s">
        <v>247</v>
      </c>
      <c r="C14" s="9">
        <v>128</v>
      </c>
      <c r="D14" s="3" t="s">
        <v>813</v>
      </c>
      <c r="E14" s="10">
        <v>45664.559664351851</v>
      </c>
      <c r="F14" s="10">
        <v>45664.56045138889</v>
      </c>
      <c r="G14" s="10">
        <v>45664.582673611112</v>
      </c>
      <c r="H14" s="10">
        <v>45664.582673611112</v>
      </c>
      <c r="I14" s="10">
        <v>45664.582673611112</v>
      </c>
      <c r="J14" s="10">
        <v>45664.583437499998</v>
      </c>
      <c r="K14" s="11">
        <f t="shared" si="0"/>
        <v>7.8703703911742195E-4</v>
      </c>
      <c r="L14" s="11">
        <f t="shared" si="1"/>
        <v>2.2222222221898846E-2</v>
      </c>
      <c r="M14" s="11">
        <f t="shared" si="2"/>
        <v>0</v>
      </c>
      <c r="N14" s="11">
        <f t="shared" si="3"/>
        <v>7.6388888555811718E-4</v>
      </c>
      <c r="O14" s="11">
        <f t="shared" si="4"/>
        <v>2.3773148146574385E-2</v>
      </c>
    </row>
    <row r="15" spans="1:15" x14ac:dyDescent="0.45">
      <c r="A15" s="3" t="s">
        <v>305</v>
      </c>
      <c r="B15" s="3" t="s">
        <v>283</v>
      </c>
      <c r="C15" s="9">
        <v>176</v>
      </c>
      <c r="D15" s="3" t="s">
        <v>820</v>
      </c>
      <c r="E15" s="10">
        <v>45664.704375000001</v>
      </c>
      <c r="F15" s="10">
        <v>45664.705243055563</v>
      </c>
      <c r="G15" s="10">
        <v>45664.735798611109</v>
      </c>
      <c r="H15" s="10">
        <v>45664.735798611109</v>
      </c>
      <c r="I15" s="10">
        <v>45664.735798611109</v>
      </c>
      <c r="J15" s="10">
        <v>45664.736712962957</v>
      </c>
      <c r="K15" s="11">
        <f t="shared" si="0"/>
        <v>8.6805556202307343E-4</v>
      </c>
      <c r="L15" s="11">
        <f t="shared" si="1"/>
        <v>3.0555555546015967E-2</v>
      </c>
      <c r="M15" s="11">
        <f t="shared" si="2"/>
        <v>0</v>
      </c>
      <c r="N15" s="11">
        <f t="shared" si="3"/>
        <v>9.1435184731381014E-4</v>
      </c>
      <c r="O15" s="11">
        <f t="shared" si="4"/>
        <v>3.233796295535285E-2</v>
      </c>
    </row>
    <row r="16" spans="1:15" x14ac:dyDescent="0.45">
      <c r="A16" s="3" t="s">
        <v>331</v>
      </c>
      <c r="B16" s="3" t="s">
        <v>263</v>
      </c>
      <c r="C16" s="9">
        <v>128</v>
      </c>
      <c r="D16" s="3" t="s">
        <v>813</v>
      </c>
      <c r="E16" s="10">
        <v>45665.253622685188</v>
      </c>
      <c r="F16" s="10">
        <v>45665.254490740743</v>
      </c>
      <c r="G16" s="10">
        <v>45665.276712962957</v>
      </c>
      <c r="H16" s="10">
        <v>45665.276712962957</v>
      </c>
      <c r="I16" s="10">
        <v>45665.276712962957</v>
      </c>
      <c r="J16" s="10">
        <v>45665.27747685185</v>
      </c>
      <c r="K16" s="11">
        <f t="shared" si="0"/>
        <v>8.6805555474711582E-4</v>
      </c>
      <c r="L16" s="11">
        <f t="shared" si="1"/>
        <v>2.2222222214622889E-2</v>
      </c>
      <c r="M16" s="11">
        <f t="shared" si="2"/>
        <v>0</v>
      </c>
      <c r="N16" s="11">
        <f t="shared" si="3"/>
        <v>7.638888928340748E-4</v>
      </c>
      <c r="O16" s="11">
        <f t="shared" si="4"/>
        <v>2.3854166662204079E-2</v>
      </c>
    </row>
    <row r="17" spans="1:15" x14ac:dyDescent="0.45">
      <c r="A17" s="3" t="s">
        <v>334</v>
      </c>
      <c r="B17" s="3" t="s">
        <v>283</v>
      </c>
      <c r="C17" s="9">
        <v>128</v>
      </c>
      <c r="D17" s="3" t="s">
        <v>816</v>
      </c>
      <c r="E17" s="10">
        <v>45665.254583333342</v>
      </c>
      <c r="F17" s="10">
        <v>45665.25545138889</v>
      </c>
      <c r="G17" s="10">
        <v>45665.277673611112</v>
      </c>
      <c r="H17" s="10">
        <v>45665.277673611112</v>
      </c>
      <c r="I17" s="10">
        <v>45665.277673611112</v>
      </c>
      <c r="J17" s="10">
        <v>45665.278402777767</v>
      </c>
      <c r="K17" s="11">
        <f t="shared" si="0"/>
        <v>8.6805554747115821E-4</v>
      </c>
      <c r="L17" s="11">
        <f t="shared" si="1"/>
        <v>2.2222222221898846E-2</v>
      </c>
      <c r="M17" s="11">
        <f t="shared" si="2"/>
        <v>0</v>
      </c>
      <c r="N17" s="11">
        <f t="shared" si="3"/>
        <v>7.2916665521916002E-4</v>
      </c>
      <c r="O17" s="11">
        <f t="shared" si="4"/>
        <v>2.3819444424589165E-2</v>
      </c>
    </row>
    <row r="18" spans="1:15" x14ac:dyDescent="0.45">
      <c r="A18" s="3" t="s">
        <v>355</v>
      </c>
      <c r="B18" s="3" t="s">
        <v>354</v>
      </c>
      <c r="C18" s="9">
        <v>176</v>
      </c>
      <c r="D18" s="3" t="s">
        <v>817</v>
      </c>
      <c r="E18" s="10">
        <v>45665.393368055556</v>
      </c>
      <c r="F18" s="10">
        <v>45665.394733796304</v>
      </c>
      <c r="G18" s="10">
        <v>45665.42528935185</v>
      </c>
      <c r="H18" s="10">
        <v>45665.42528935185</v>
      </c>
      <c r="I18" s="10">
        <v>45665.42528935185</v>
      </c>
      <c r="J18" s="10">
        <v>45665.426203703697</v>
      </c>
      <c r="K18" s="11">
        <f t="shared" si="0"/>
        <v>1.3657407471328042E-3</v>
      </c>
      <c r="L18" s="11">
        <f t="shared" si="1"/>
        <v>3.0555555546015967E-2</v>
      </c>
      <c r="M18" s="11">
        <f t="shared" si="2"/>
        <v>0</v>
      </c>
      <c r="N18" s="11">
        <f t="shared" si="3"/>
        <v>9.1435184731381014E-4</v>
      </c>
      <c r="O18" s="11">
        <f t="shared" si="4"/>
        <v>3.2835648140462581E-2</v>
      </c>
    </row>
    <row r="19" spans="1:15" x14ac:dyDescent="0.45">
      <c r="A19" s="3" t="s">
        <v>345</v>
      </c>
      <c r="B19" s="3" t="s">
        <v>231</v>
      </c>
      <c r="C19" s="9">
        <v>240</v>
      </c>
      <c r="D19" s="3" t="s">
        <v>815</v>
      </c>
      <c r="E19" s="10">
        <v>45665.403715277767</v>
      </c>
      <c r="F19" s="10">
        <v>45665.404583333337</v>
      </c>
      <c r="G19" s="10">
        <v>45665.446250000001</v>
      </c>
      <c r="H19" s="10">
        <v>45665.446250000001</v>
      </c>
      <c r="I19" s="10">
        <v>45665.446250000001</v>
      </c>
      <c r="J19" s="10">
        <v>45665.447395833333</v>
      </c>
      <c r="K19" s="11">
        <f t="shared" si="0"/>
        <v>8.6805556929903105E-4</v>
      </c>
      <c r="L19" s="11">
        <f t="shared" si="1"/>
        <v>4.1666666664241347E-2</v>
      </c>
      <c r="M19" s="11">
        <f t="shared" si="2"/>
        <v>0</v>
      </c>
      <c r="N19" s="11">
        <f t="shared" si="3"/>
        <v>1.1458333319751546E-3</v>
      </c>
      <c r="O19" s="11">
        <f t="shared" si="4"/>
        <v>4.3680555565515533E-2</v>
      </c>
    </row>
    <row r="20" spans="1:15" x14ac:dyDescent="0.45">
      <c r="A20" s="3" t="s">
        <v>378</v>
      </c>
      <c r="B20" s="3" t="s">
        <v>283</v>
      </c>
      <c r="C20" s="9">
        <v>160</v>
      </c>
      <c r="D20" s="3" t="s">
        <v>819</v>
      </c>
      <c r="E20" s="10">
        <v>45665.421481481477</v>
      </c>
      <c r="F20" s="10">
        <v>45665.429837962962</v>
      </c>
      <c r="G20" s="10">
        <v>45665.457615740743</v>
      </c>
      <c r="H20" s="10">
        <v>45665.457615740743</v>
      </c>
      <c r="I20" s="10">
        <v>45665.457615740743</v>
      </c>
      <c r="J20" s="10">
        <v>45665.45853009259</v>
      </c>
      <c r="K20" s="11">
        <f t="shared" si="0"/>
        <v>8.3564814849523827E-3</v>
      </c>
      <c r="L20" s="11">
        <f t="shared" si="1"/>
        <v>2.7777777781011537E-2</v>
      </c>
      <c r="M20" s="11">
        <f t="shared" si="2"/>
        <v>0</v>
      </c>
      <c r="N20" s="11">
        <f t="shared" si="3"/>
        <v>9.1435184731381014E-4</v>
      </c>
      <c r="O20" s="11">
        <f t="shared" si="4"/>
        <v>3.704861111327773E-2</v>
      </c>
    </row>
    <row r="21" spans="1:15" x14ac:dyDescent="0.45">
      <c r="A21" s="3" t="s">
        <v>385</v>
      </c>
      <c r="B21" s="3" t="s">
        <v>231</v>
      </c>
      <c r="C21" s="9">
        <v>160</v>
      </c>
      <c r="D21" s="3" t="s">
        <v>818</v>
      </c>
      <c r="E21" s="10">
        <v>45665.433541666673</v>
      </c>
      <c r="F21" s="10">
        <v>45665.44798611111</v>
      </c>
      <c r="G21" s="10">
        <v>45665.475763888891</v>
      </c>
      <c r="H21" s="10">
        <v>45665.475763888891</v>
      </c>
      <c r="I21" s="10">
        <v>45665.475763888891</v>
      </c>
      <c r="J21" s="10">
        <v>45665.476678240739</v>
      </c>
      <c r="K21" s="11">
        <f t="shared" si="0"/>
        <v>1.4444444437685888E-2</v>
      </c>
      <c r="L21" s="11">
        <f t="shared" si="1"/>
        <v>2.7777777781011537E-2</v>
      </c>
      <c r="M21" s="11">
        <f t="shared" si="2"/>
        <v>0</v>
      </c>
      <c r="N21" s="11">
        <f t="shared" si="3"/>
        <v>9.1435184731381014E-4</v>
      </c>
      <c r="O21" s="11">
        <f t="shared" si="4"/>
        <v>4.3136574066011235E-2</v>
      </c>
    </row>
    <row r="22" spans="1:15" x14ac:dyDescent="0.45">
      <c r="A22" s="3" t="s">
        <v>375</v>
      </c>
      <c r="B22" s="3" t="s">
        <v>354</v>
      </c>
      <c r="C22" s="9">
        <v>208</v>
      </c>
      <c r="D22" s="3" t="s">
        <v>816</v>
      </c>
      <c r="E22" s="10">
        <v>45665.454467592594</v>
      </c>
      <c r="F22" s="10">
        <v>45665.456053240741</v>
      </c>
      <c r="G22" s="10">
        <v>45665.492164351846</v>
      </c>
      <c r="H22" s="10">
        <v>45665.492164351846</v>
      </c>
      <c r="I22" s="10">
        <v>45665.492164351846</v>
      </c>
      <c r="J22" s="10">
        <v>45665.493067129632</v>
      </c>
      <c r="K22" s="11">
        <f t="shared" si="0"/>
        <v>1.5856481477385387E-3</v>
      </c>
      <c r="L22" s="11">
        <f t="shared" si="1"/>
        <v>3.6111111105128657E-2</v>
      </c>
      <c r="M22" s="11">
        <f t="shared" si="2"/>
        <v>0</v>
      </c>
      <c r="N22" s="11">
        <f t="shared" si="3"/>
        <v>9.0277778508607298E-4</v>
      </c>
      <c r="O22" s="11">
        <f t="shared" si="4"/>
        <v>3.8599537037953269E-2</v>
      </c>
    </row>
    <row r="23" spans="1:15" x14ac:dyDescent="0.45">
      <c r="A23" s="3" t="s">
        <v>398</v>
      </c>
      <c r="B23" s="3" t="s">
        <v>263</v>
      </c>
      <c r="C23" s="9">
        <v>128</v>
      </c>
      <c r="D23" s="3" t="s">
        <v>820</v>
      </c>
      <c r="E23" s="10">
        <v>45665.611238425918</v>
      </c>
      <c r="F23" s="10">
        <v>45665.61210648148</v>
      </c>
      <c r="G23" s="10">
        <v>45665.634328703702</v>
      </c>
      <c r="H23" s="10">
        <v>45665.634328703702</v>
      </c>
      <c r="I23" s="10">
        <v>45665.634328703702</v>
      </c>
      <c r="J23" s="10">
        <v>45665.635138888887</v>
      </c>
      <c r="K23" s="11">
        <f t="shared" si="0"/>
        <v>8.6805556202307343E-4</v>
      </c>
      <c r="L23" s="11">
        <f t="shared" si="1"/>
        <v>2.2222222221898846E-2</v>
      </c>
      <c r="M23" s="11">
        <f t="shared" si="2"/>
        <v>0</v>
      </c>
      <c r="N23" s="11">
        <f t="shared" si="3"/>
        <v>8.1018518540076911E-4</v>
      </c>
      <c r="O23" s="11">
        <f t="shared" si="4"/>
        <v>2.3900462969322689E-2</v>
      </c>
    </row>
    <row r="24" spans="1:15" x14ac:dyDescent="0.45">
      <c r="A24" s="3" t="s">
        <v>358</v>
      </c>
      <c r="B24" s="3" t="s">
        <v>255</v>
      </c>
      <c r="C24" s="9">
        <v>144</v>
      </c>
      <c r="D24" s="3" t="s">
        <v>813</v>
      </c>
      <c r="E24" s="10">
        <v>45665.614490740743</v>
      </c>
      <c r="F24" s="10">
        <v>45665.615358796298</v>
      </c>
      <c r="G24" s="10">
        <v>45665.6403587963</v>
      </c>
      <c r="H24" s="10">
        <v>45665.6403587963</v>
      </c>
      <c r="I24" s="10">
        <v>45665.6403587963</v>
      </c>
      <c r="J24" s="10">
        <v>45665.641168981478</v>
      </c>
      <c r="K24" s="11">
        <f t="shared" si="0"/>
        <v>8.6805555474711582E-4</v>
      </c>
      <c r="L24" s="11">
        <f t="shared" si="1"/>
        <v>2.5000000001455192E-2</v>
      </c>
      <c r="M24" s="11">
        <f t="shared" si="2"/>
        <v>0</v>
      </c>
      <c r="N24" s="11">
        <f t="shared" si="3"/>
        <v>8.101851781248115E-4</v>
      </c>
      <c r="O24" s="11">
        <f t="shared" si="4"/>
        <v>2.6678240734327119E-2</v>
      </c>
    </row>
    <row r="25" spans="1:15" x14ac:dyDescent="0.45">
      <c r="A25" s="3" t="s">
        <v>407</v>
      </c>
      <c r="B25" s="3" t="s">
        <v>231</v>
      </c>
      <c r="C25" s="9">
        <v>112</v>
      </c>
      <c r="D25" s="3" t="s">
        <v>813</v>
      </c>
      <c r="E25" s="10">
        <v>45665.767060185193</v>
      </c>
      <c r="F25" s="10">
        <v>45665.767893518518</v>
      </c>
      <c r="G25" s="10">
        <v>45665.78733796296</v>
      </c>
      <c r="H25" s="10">
        <v>45665.78733796296</v>
      </c>
      <c r="I25" s="10">
        <v>45665.78733796296</v>
      </c>
      <c r="J25" s="10">
        <v>45665.78806712963</v>
      </c>
      <c r="K25" s="11">
        <f t="shared" si="0"/>
        <v>8.3333332440815866E-4</v>
      </c>
      <c r="L25" s="11">
        <f t="shared" si="1"/>
        <v>1.9444444442342501E-2</v>
      </c>
      <c r="M25" s="11">
        <f t="shared" si="2"/>
        <v>0</v>
      </c>
      <c r="N25" s="11">
        <f t="shared" si="3"/>
        <v>7.2916666977107525E-4</v>
      </c>
      <c r="O25" s="11">
        <f t="shared" si="4"/>
        <v>2.1006944436521735E-2</v>
      </c>
    </row>
    <row r="26" spans="1:15" x14ac:dyDescent="0.45">
      <c r="A26" s="3" t="s">
        <v>412</v>
      </c>
      <c r="B26" s="3" t="s">
        <v>354</v>
      </c>
      <c r="C26" s="9">
        <v>256</v>
      </c>
      <c r="D26" s="3" t="s">
        <v>813</v>
      </c>
      <c r="E26" s="10">
        <v>45665.919918981483</v>
      </c>
      <c r="F26" s="10">
        <v>45665.920763888891</v>
      </c>
      <c r="G26" s="10">
        <v>45665.965208333328</v>
      </c>
      <c r="H26" s="10">
        <v>45665.965208333328</v>
      </c>
      <c r="I26" s="10">
        <v>45665.965208333328</v>
      </c>
      <c r="J26" s="10">
        <v>45665.966261574067</v>
      </c>
      <c r="K26" s="11">
        <f t="shared" si="0"/>
        <v>8.4490740846376866E-4</v>
      </c>
      <c r="L26" s="11">
        <f t="shared" si="1"/>
        <v>4.4444444436521735E-2</v>
      </c>
      <c r="M26" s="11">
        <f t="shared" si="2"/>
        <v>0</v>
      </c>
      <c r="N26" s="11">
        <f t="shared" si="3"/>
        <v>1.0532407395658083E-3</v>
      </c>
      <c r="O26" s="11">
        <f t="shared" si="4"/>
        <v>4.6342592584551312E-2</v>
      </c>
    </row>
    <row r="27" spans="1:15" x14ac:dyDescent="0.45">
      <c r="A27" s="3" t="s">
        <v>431</v>
      </c>
      <c r="B27" s="3" t="s">
        <v>283</v>
      </c>
      <c r="C27" s="9">
        <v>176</v>
      </c>
      <c r="D27" s="3" t="s">
        <v>817</v>
      </c>
      <c r="E27" s="10">
        <v>45666.238599537042</v>
      </c>
      <c r="F27" s="10">
        <v>45666.23946759259</v>
      </c>
      <c r="G27" s="10">
        <v>45666.27002314815</v>
      </c>
      <c r="H27" s="10">
        <v>45666.27002314815</v>
      </c>
      <c r="I27" s="10">
        <v>45666.27002314815</v>
      </c>
      <c r="J27" s="10">
        <v>45666.270925925928</v>
      </c>
      <c r="K27" s="11">
        <f t="shared" si="0"/>
        <v>8.6805554747115821E-4</v>
      </c>
      <c r="L27" s="11">
        <f t="shared" si="1"/>
        <v>3.0555555560567882E-2</v>
      </c>
      <c r="M27" s="11">
        <f t="shared" si="2"/>
        <v>0</v>
      </c>
      <c r="N27" s="11">
        <f t="shared" si="3"/>
        <v>9.0277777781011537E-4</v>
      </c>
      <c r="O27" s="11">
        <f t="shared" si="4"/>
        <v>3.2326388885849155E-2</v>
      </c>
    </row>
    <row r="28" spans="1:15" x14ac:dyDescent="0.45">
      <c r="A28" s="3" t="s">
        <v>423</v>
      </c>
      <c r="B28" s="3" t="s">
        <v>263</v>
      </c>
      <c r="C28" s="9">
        <v>144</v>
      </c>
      <c r="D28" s="3" t="s">
        <v>813</v>
      </c>
      <c r="E28" s="10">
        <v>45666.243206018517</v>
      </c>
      <c r="F28" s="10">
        <v>45666.27175925926</v>
      </c>
      <c r="G28" s="10">
        <v>45666.296759259261</v>
      </c>
      <c r="H28" s="10">
        <v>45666.296759259261</v>
      </c>
      <c r="I28" s="10">
        <v>45666.296759259261</v>
      </c>
      <c r="J28" s="10">
        <v>45666.29755787037</v>
      </c>
      <c r="K28" s="11">
        <f t="shared" si="0"/>
        <v>2.8553240743349306E-2</v>
      </c>
      <c r="L28" s="11">
        <f t="shared" si="1"/>
        <v>2.5000000001455192E-2</v>
      </c>
      <c r="M28" s="11">
        <f t="shared" si="2"/>
        <v>0</v>
      </c>
      <c r="N28" s="11">
        <f t="shared" si="3"/>
        <v>7.9861110862111673E-4</v>
      </c>
      <c r="O28" s="11">
        <f t="shared" si="4"/>
        <v>5.4351851853425615E-2</v>
      </c>
    </row>
    <row r="29" spans="1:15" x14ac:dyDescent="0.45">
      <c r="A29" s="3" t="s">
        <v>440</v>
      </c>
      <c r="B29" s="3" t="s">
        <v>231</v>
      </c>
      <c r="C29" s="9">
        <v>224</v>
      </c>
      <c r="D29" s="3" t="s">
        <v>815</v>
      </c>
      <c r="E29" s="10">
        <v>45666.264606481483</v>
      </c>
      <c r="F29" s="10">
        <v>45666.277777777781</v>
      </c>
      <c r="G29" s="10">
        <v>45666.316666666673</v>
      </c>
      <c r="H29" s="10">
        <v>45666.316666666673</v>
      </c>
      <c r="I29" s="10">
        <v>45666.316666666673</v>
      </c>
      <c r="J29" s="10">
        <v>45666.317777777767</v>
      </c>
      <c r="K29" s="11">
        <f t="shared" si="0"/>
        <v>1.3171296297514345E-2</v>
      </c>
      <c r="L29" s="11">
        <f t="shared" si="1"/>
        <v>3.888888889196096E-2</v>
      </c>
      <c r="M29" s="11">
        <f t="shared" si="2"/>
        <v>0</v>
      </c>
      <c r="N29" s="11">
        <f t="shared" si="3"/>
        <v>1.1111110943602398E-3</v>
      </c>
      <c r="O29" s="11">
        <f t="shared" si="4"/>
        <v>5.3171296283835545E-2</v>
      </c>
    </row>
    <row r="30" spans="1:15" x14ac:dyDescent="0.45">
      <c r="A30" s="3" t="s">
        <v>428</v>
      </c>
      <c r="B30" s="3" t="s">
        <v>247</v>
      </c>
      <c r="C30" s="9">
        <v>240</v>
      </c>
      <c r="D30" s="3" t="s">
        <v>816</v>
      </c>
      <c r="E30" s="10">
        <v>45666.269976851851</v>
      </c>
      <c r="F30" s="10">
        <v>45666.282106481478</v>
      </c>
      <c r="G30" s="10">
        <v>45666.323773148149</v>
      </c>
      <c r="H30" s="10">
        <v>45666.323773148149</v>
      </c>
      <c r="I30" s="10">
        <v>45666.323773148149</v>
      </c>
      <c r="J30" s="10">
        <v>45666.32476851852</v>
      </c>
      <c r="K30" s="11">
        <f t="shared" si="0"/>
        <v>1.2129629627452232E-2</v>
      </c>
      <c r="L30" s="11">
        <f t="shared" si="1"/>
        <v>4.1666666671517305E-2</v>
      </c>
      <c r="M30" s="11">
        <f t="shared" si="2"/>
        <v>0</v>
      </c>
      <c r="N30" s="11">
        <f t="shared" si="3"/>
        <v>9.9537037021946162E-4</v>
      </c>
      <c r="O30" s="11">
        <f t="shared" si="4"/>
        <v>5.4791666669188999E-2</v>
      </c>
    </row>
    <row r="31" spans="1:15" x14ac:dyDescent="0.45">
      <c r="A31" s="3" t="s">
        <v>475</v>
      </c>
      <c r="B31" s="3" t="s">
        <v>283</v>
      </c>
      <c r="C31" s="9">
        <v>128</v>
      </c>
      <c r="D31" s="3" t="s">
        <v>821</v>
      </c>
      <c r="E31" s="10">
        <v>45666.278877314813</v>
      </c>
      <c r="F31" s="10">
        <v>45666.298495370371</v>
      </c>
      <c r="G31" s="10">
        <v>45666.320717592593</v>
      </c>
      <c r="H31" s="10">
        <v>45666.320717592593</v>
      </c>
      <c r="I31" s="10">
        <v>45666.320717592593</v>
      </c>
      <c r="J31" s="10">
        <v>45666.321608796286</v>
      </c>
      <c r="K31" s="11">
        <f t="shared" si="0"/>
        <v>1.9618055557657499E-2</v>
      </c>
      <c r="L31" s="11">
        <f t="shared" si="1"/>
        <v>2.2222222221898846E-2</v>
      </c>
      <c r="M31" s="11">
        <f t="shared" si="2"/>
        <v>0</v>
      </c>
      <c r="N31" s="11">
        <f t="shared" si="3"/>
        <v>8.9120369375450537E-4</v>
      </c>
      <c r="O31" s="11">
        <f t="shared" si="4"/>
        <v>4.2731481473310851E-2</v>
      </c>
    </row>
    <row r="32" spans="1:15" x14ac:dyDescent="0.45">
      <c r="A32" s="3" t="s">
        <v>468</v>
      </c>
      <c r="B32" s="3" t="s">
        <v>283</v>
      </c>
      <c r="C32" s="9">
        <v>160</v>
      </c>
      <c r="D32" s="3" t="s">
        <v>819</v>
      </c>
      <c r="E32" s="10">
        <v>45666.280486111107</v>
      </c>
      <c r="F32" s="10">
        <v>45666.318356481483</v>
      </c>
      <c r="G32" s="10">
        <v>45666.346134259264</v>
      </c>
      <c r="H32" s="10">
        <v>45666.346134259264</v>
      </c>
      <c r="I32" s="10">
        <v>45666.346134259264</v>
      </c>
      <c r="J32" s="10">
        <v>45666.347048611111</v>
      </c>
      <c r="K32" s="11">
        <f t="shared" si="0"/>
        <v>3.7870370375458151E-2</v>
      </c>
      <c r="L32" s="11">
        <f t="shared" si="1"/>
        <v>2.7777777781011537E-2</v>
      </c>
      <c r="M32" s="11">
        <f t="shared" si="2"/>
        <v>0</v>
      </c>
      <c r="N32" s="11">
        <f t="shared" si="3"/>
        <v>9.1435184731381014E-4</v>
      </c>
      <c r="O32" s="11">
        <f t="shared" si="4"/>
        <v>6.6562500003783498E-2</v>
      </c>
    </row>
    <row r="33" spans="1:15" x14ac:dyDescent="0.45">
      <c r="A33" s="3" t="s">
        <v>483</v>
      </c>
      <c r="B33" s="3" t="s">
        <v>354</v>
      </c>
      <c r="C33" s="9">
        <v>128</v>
      </c>
      <c r="D33" s="3" t="s">
        <v>817</v>
      </c>
      <c r="E33" s="10">
        <v>45666.475416666668</v>
      </c>
      <c r="F33" s="10">
        <v>45666.477060185192</v>
      </c>
      <c r="G33" s="10">
        <v>45666.499282407407</v>
      </c>
      <c r="H33" s="10">
        <v>45666.499282407407</v>
      </c>
      <c r="I33" s="10">
        <v>45666.499282407407</v>
      </c>
      <c r="J33" s="10">
        <v>45666.500081018523</v>
      </c>
      <c r="K33" s="11">
        <f t="shared" si="0"/>
        <v>1.643518524360843E-3</v>
      </c>
      <c r="L33" s="11">
        <f t="shared" si="1"/>
        <v>2.2222222214622889E-2</v>
      </c>
      <c r="M33" s="11">
        <f t="shared" si="2"/>
        <v>0</v>
      </c>
      <c r="N33" s="11">
        <f t="shared" si="3"/>
        <v>7.9861111589707434E-4</v>
      </c>
      <c r="O33" s="11">
        <f t="shared" si="4"/>
        <v>2.4664351854880806E-2</v>
      </c>
    </row>
    <row r="34" spans="1:15" x14ac:dyDescent="0.45">
      <c r="A34" s="3" t="s">
        <v>490</v>
      </c>
      <c r="B34" s="3" t="s">
        <v>263</v>
      </c>
      <c r="C34" s="9">
        <v>208</v>
      </c>
      <c r="D34" s="3" t="s">
        <v>813</v>
      </c>
      <c r="E34" s="10">
        <v>45666.484537037039</v>
      </c>
      <c r="F34" s="10">
        <v>45666.485405092593</v>
      </c>
      <c r="G34" s="10">
        <v>45666.521516203713</v>
      </c>
      <c r="H34" s="10">
        <v>45666.521516203713</v>
      </c>
      <c r="I34" s="10">
        <v>45666.521516203713</v>
      </c>
      <c r="J34" s="10">
        <v>45666.522465277783</v>
      </c>
      <c r="K34" s="11">
        <f t="shared" ref="K34:K65" si="5">IF(AND(ISNUMBER(E34),ISNUMBER(F34)),(F34-E34),"")</f>
        <v>8.6805555474711582E-4</v>
      </c>
      <c r="L34" s="11">
        <f t="shared" ref="L34:L65" si="6">IF(AND(ISNUMBER(F34),ISNUMBER(G34)),(G34-F34),"")</f>
        <v>3.6111111119680572E-2</v>
      </c>
      <c r="M34" s="11">
        <f t="shared" ref="M34:M65" si="7">IF(AND(ISNUMBER(H34),ISNUMBER(I34)),(I34-H34),"")</f>
        <v>0</v>
      </c>
      <c r="N34" s="11">
        <f t="shared" ref="N34:N65" si="8">IF(AND(ISNUMBER(I34),ISNUMBER(J34)),(J34-I34),"")</f>
        <v>9.4907407037680969E-4</v>
      </c>
      <c r="O34" s="11">
        <f t="shared" ref="O34:O65" si="9">IF(AND(ISNUMBER(E34),ISNUMBER(J34)),(J34-E34),"")</f>
        <v>3.7928240744804498E-2</v>
      </c>
    </row>
    <row r="35" spans="1:15" x14ac:dyDescent="0.45">
      <c r="A35" s="3" t="s">
        <v>507</v>
      </c>
      <c r="B35" s="3" t="s">
        <v>354</v>
      </c>
      <c r="C35" s="9">
        <v>208</v>
      </c>
      <c r="D35" s="3" t="s">
        <v>817</v>
      </c>
      <c r="E35" s="10">
        <v>45666.565347222233</v>
      </c>
      <c r="F35" s="10">
        <v>45666.56622685185</v>
      </c>
      <c r="G35" s="10">
        <v>45666.602337962962</v>
      </c>
      <c r="H35" s="10">
        <v>45666.602337962962</v>
      </c>
      <c r="I35" s="10">
        <v>45666.602337962962</v>
      </c>
      <c r="J35" s="10">
        <v>45666.603321759263</v>
      </c>
      <c r="K35" s="11">
        <f t="shared" si="5"/>
        <v>8.7962961697485298E-4</v>
      </c>
      <c r="L35" s="11">
        <f t="shared" si="6"/>
        <v>3.6111111112404615E-2</v>
      </c>
      <c r="M35" s="11">
        <f t="shared" si="7"/>
        <v>0</v>
      </c>
      <c r="N35" s="11">
        <f t="shared" si="8"/>
        <v>9.8379630071576685E-4</v>
      </c>
      <c r="O35" s="11">
        <f t="shared" si="9"/>
        <v>3.7974537030095235E-2</v>
      </c>
    </row>
    <row r="36" spans="1:15" x14ac:dyDescent="0.45">
      <c r="A36" s="3" t="s">
        <v>502</v>
      </c>
      <c r="B36" s="3" t="s">
        <v>283</v>
      </c>
      <c r="C36" s="9">
        <v>176</v>
      </c>
      <c r="D36" s="3" t="s">
        <v>813</v>
      </c>
      <c r="E36" s="10">
        <v>45666.570324074077</v>
      </c>
      <c r="F36" s="10">
        <v>45666.572187500002</v>
      </c>
      <c r="G36" s="10">
        <v>45666.602743055562</v>
      </c>
      <c r="H36" s="10">
        <v>45666.602743055562</v>
      </c>
      <c r="I36" s="10">
        <v>45666.604201388887</v>
      </c>
      <c r="J36" s="10">
        <v>45666.605081018519</v>
      </c>
      <c r="K36" s="11">
        <f t="shared" si="5"/>
        <v>1.8634259249665774E-3</v>
      </c>
      <c r="L36" s="11">
        <f t="shared" si="6"/>
        <v>3.0555555560567882E-2</v>
      </c>
      <c r="M36" s="11">
        <f t="shared" si="7"/>
        <v>1.4583333249902353E-3</v>
      </c>
      <c r="N36" s="11">
        <f t="shared" si="8"/>
        <v>8.7962963152676821E-4</v>
      </c>
      <c r="O36" s="11">
        <f t="shared" si="9"/>
        <v>3.4756944442051463E-2</v>
      </c>
    </row>
    <row r="37" spans="1:15" x14ac:dyDescent="0.45">
      <c r="A37" s="3" t="s">
        <v>461</v>
      </c>
      <c r="B37" s="3" t="s">
        <v>231</v>
      </c>
      <c r="C37" s="9">
        <v>144</v>
      </c>
      <c r="D37" s="3" t="s">
        <v>818</v>
      </c>
      <c r="E37" s="10">
        <v>45666.572048611109</v>
      </c>
      <c r="F37" s="10">
        <v>45666.577708333331</v>
      </c>
      <c r="G37" s="10">
        <v>45666.602708333332</v>
      </c>
      <c r="H37" s="10">
        <v>45666.602708333332</v>
      </c>
      <c r="I37" s="10">
        <v>45666.603321759263</v>
      </c>
      <c r="J37" s="10">
        <v>45666.604201388887</v>
      </c>
      <c r="K37" s="11">
        <f t="shared" si="5"/>
        <v>5.6597222210257314E-3</v>
      </c>
      <c r="L37" s="11">
        <f t="shared" si="6"/>
        <v>2.5000000001455192E-2</v>
      </c>
      <c r="M37" s="11">
        <f t="shared" si="7"/>
        <v>6.1342593107838184E-4</v>
      </c>
      <c r="N37" s="11">
        <f t="shared" si="8"/>
        <v>8.7962962425081059E-4</v>
      </c>
      <c r="O37" s="11">
        <f t="shared" si="9"/>
        <v>3.2152777777810115E-2</v>
      </c>
    </row>
    <row r="38" spans="1:15" x14ac:dyDescent="0.45">
      <c r="A38" s="3" t="s">
        <v>495</v>
      </c>
      <c r="B38" s="3" t="s">
        <v>247</v>
      </c>
      <c r="C38" s="9">
        <v>112</v>
      </c>
      <c r="D38" s="3" t="s">
        <v>816</v>
      </c>
      <c r="E38" s="10">
        <v>45666.575972222221</v>
      </c>
      <c r="F38" s="10">
        <v>45666.604444444441</v>
      </c>
      <c r="G38" s="10">
        <v>45666.623888888891</v>
      </c>
      <c r="H38" s="10">
        <v>45666.623888888891</v>
      </c>
      <c r="I38" s="10">
        <v>45666.623888888891</v>
      </c>
      <c r="J38" s="10">
        <v>45666.624583333331</v>
      </c>
      <c r="K38" s="11">
        <f t="shared" si="5"/>
        <v>2.8472222220443655E-2</v>
      </c>
      <c r="L38" s="11">
        <f t="shared" si="6"/>
        <v>1.9444444449618459E-2</v>
      </c>
      <c r="M38" s="11">
        <f t="shared" si="7"/>
        <v>0</v>
      </c>
      <c r="N38" s="11">
        <f t="shared" si="8"/>
        <v>6.9444443943211809E-4</v>
      </c>
      <c r="O38" s="11">
        <f t="shared" si="9"/>
        <v>4.8611111109494232E-2</v>
      </c>
    </row>
    <row r="39" spans="1:15" x14ac:dyDescent="0.45">
      <c r="A39" s="3" t="s">
        <v>527</v>
      </c>
      <c r="B39" s="3" t="s">
        <v>283</v>
      </c>
      <c r="C39" s="9">
        <v>144</v>
      </c>
      <c r="D39" s="3" t="s">
        <v>819</v>
      </c>
      <c r="E39" s="10">
        <v>45666.614548611113</v>
      </c>
      <c r="F39" s="10">
        <v>45666.616261574083</v>
      </c>
      <c r="G39" s="10">
        <v>45666.641261574077</v>
      </c>
      <c r="H39" s="10">
        <v>45666.641261574077</v>
      </c>
      <c r="I39" s="10">
        <v>45666.641759259262</v>
      </c>
      <c r="J39" s="10">
        <v>45666.642638888887</v>
      </c>
      <c r="K39" s="11">
        <f t="shared" si="5"/>
        <v>1.7129629704868421E-3</v>
      </c>
      <c r="L39" s="11">
        <f t="shared" si="6"/>
        <v>2.4999999994179234E-2</v>
      </c>
      <c r="M39" s="11">
        <f t="shared" si="7"/>
        <v>4.9768518510973081E-4</v>
      </c>
      <c r="N39" s="11">
        <f t="shared" si="8"/>
        <v>8.7962962425081059E-4</v>
      </c>
      <c r="O39" s="11">
        <f t="shared" si="9"/>
        <v>2.8090277774026617E-2</v>
      </c>
    </row>
    <row r="40" spans="1:15" x14ac:dyDescent="0.45">
      <c r="A40" s="3" t="s">
        <v>530</v>
      </c>
      <c r="B40" s="3" t="s">
        <v>237</v>
      </c>
      <c r="C40" s="9">
        <v>112</v>
      </c>
      <c r="D40" s="3" t="s">
        <v>821</v>
      </c>
      <c r="E40" s="10">
        <v>45666.617349537039</v>
      </c>
      <c r="F40" s="10">
        <v>45666.621469907397</v>
      </c>
      <c r="G40" s="10">
        <v>45666.640914351847</v>
      </c>
      <c r="H40" s="10">
        <v>45666.640914351847</v>
      </c>
      <c r="I40" s="10">
        <v>45666.640914351847</v>
      </c>
      <c r="J40" s="10">
        <v>45666.641759259262</v>
      </c>
      <c r="K40" s="11">
        <f t="shared" si="5"/>
        <v>4.1203703585779294E-3</v>
      </c>
      <c r="L40" s="11">
        <f t="shared" si="6"/>
        <v>1.9444444449618459E-2</v>
      </c>
      <c r="M40" s="11">
        <f t="shared" si="7"/>
        <v>0</v>
      </c>
      <c r="N40" s="11">
        <f t="shared" si="8"/>
        <v>8.4490741573972628E-4</v>
      </c>
      <c r="O40" s="11">
        <f t="shared" si="9"/>
        <v>2.4409722223936114E-2</v>
      </c>
    </row>
    <row r="41" spans="1:15" x14ac:dyDescent="0.45">
      <c r="A41" s="3" t="s">
        <v>535</v>
      </c>
      <c r="B41" s="3" t="s">
        <v>231</v>
      </c>
      <c r="C41" s="9">
        <v>128</v>
      </c>
      <c r="D41" s="3" t="s">
        <v>822</v>
      </c>
      <c r="E41" s="10">
        <v>45666.61990740741</v>
      </c>
      <c r="F41" s="10">
        <v>45666.625625000001</v>
      </c>
      <c r="G41" s="10">
        <v>45666.647847222222</v>
      </c>
      <c r="H41" s="10">
        <v>45666.647847222222</v>
      </c>
      <c r="I41" s="10">
        <v>45666.647847222222</v>
      </c>
      <c r="J41" s="10">
        <v>45666.648680555547</v>
      </c>
      <c r="K41" s="11">
        <f t="shared" si="5"/>
        <v>5.7175925903720781E-3</v>
      </c>
      <c r="L41" s="11">
        <f t="shared" si="6"/>
        <v>2.2222222221898846E-2</v>
      </c>
      <c r="M41" s="11">
        <f t="shared" si="7"/>
        <v>0</v>
      </c>
      <c r="N41" s="11">
        <f t="shared" si="8"/>
        <v>8.3333332440815866E-4</v>
      </c>
      <c r="O41" s="11">
        <f t="shared" si="9"/>
        <v>2.8773148136679083E-2</v>
      </c>
    </row>
    <row r="42" spans="1:15" x14ac:dyDescent="0.45">
      <c r="A42" s="3" t="s">
        <v>542</v>
      </c>
      <c r="B42" s="3" t="s">
        <v>354</v>
      </c>
      <c r="C42" s="9">
        <v>144</v>
      </c>
      <c r="D42" s="3" t="s">
        <v>813</v>
      </c>
      <c r="E42" s="10">
        <v>45666.811932870369</v>
      </c>
      <c r="F42" s="10">
        <v>45666.816643518519</v>
      </c>
      <c r="G42" s="10">
        <v>45666.841643518521</v>
      </c>
      <c r="H42" s="10">
        <v>45666.841643518521</v>
      </c>
      <c r="I42" s="10">
        <v>45666.841643518521</v>
      </c>
      <c r="J42" s="10">
        <v>45666.842442129629</v>
      </c>
      <c r="K42" s="11">
        <f t="shared" si="5"/>
        <v>4.7106481506489217E-3</v>
      </c>
      <c r="L42" s="11">
        <f t="shared" si="6"/>
        <v>2.5000000001455192E-2</v>
      </c>
      <c r="M42" s="11">
        <f t="shared" si="7"/>
        <v>0</v>
      </c>
      <c r="N42" s="11">
        <f t="shared" si="8"/>
        <v>7.9861110862111673E-4</v>
      </c>
      <c r="O42" s="11">
        <f t="shared" si="9"/>
        <v>3.050925926072523E-2</v>
      </c>
    </row>
    <row r="43" spans="1:15" x14ac:dyDescent="0.45">
      <c r="A43" s="3" t="s">
        <v>547</v>
      </c>
      <c r="B43" s="3" t="s">
        <v>283</v>
      </c>
      <c r="C43" s="9">
        <v>176</v>
      </c>
      <c r="D43" s="3" t="s">
        <v>816</v>
      </c>
      <c r="E43" s="10">
        <v>45666.823553240742</v>
      </c>
      <c r="F43" s="10">
        <v>45666.824421296304</v>
      </c>
      <c r="G43" s="10">
        <v>45666.85497685185</v>
      </c>
      <c r="H43" s="10">
        <v>45666.85497685185</v>
      </c>
      <c r="I43" s="10">
        <v>45666.85497685185</v>
      </c>
      <c r="J43" s="10">
        <v>45666.855821759258</v>
      </c>
      <c r="K43" s="11">
        <f t="shared" si="5"/>
        <v>8.6805556202307343E-4</v>
      </c>
      <c r="L43" s="11">
        <f t="shared" si="6"/>
        <v>3.0555555546015967E-2</v>
      </c>
      <c r="M43" s="11">
        <f t="shared" si="7"/>
        <v>0</v>
      </c>
      <c r="N43" s="11">
        <f t="shared" si="8"/>
        <v>8.4490740846376866E-4</v>
      </c>
      <c r="O43" s="11">
        <f t="shared" si="9"/>
        <v>3.2268518516502809E-2</v>
      </c>
    </row>
    <row r="44" spans="1:15" x14ac:dyDescent="0.45">
      <c r="A44" s="3" t="s">
        <v>522</v>
      </c>
      <c r="B44" s="3" t="s">
        <v>263</v>
      </c>
      <c r="C44" s="9">
        <v>192</v>
      </c>
      <c r="D44" s="3" t="s">
        <v>815</v>
      </c>
      <c r="E44" s="10">
        <v>45666.957453703697</v>
      </c>
      <c r="F44" s="10">
        <v>45666.958321759259</v>
      </c>
      <c r="G44" s="10">
        <v>45666.991655092592</v>
      </c>
      <c r="H44" s="10">
        <v>45666.991655092592</v>
      </c>
      <c r="I44" s="10">
        <v>45666.991655092592</v>
      </c>
      <c r="J44" s="10">
        <v>45666.992696759262</v>
      </c>
      <c r="K44" s="11">
        <f t="shared" si="5"/>
        <v>8.6805556202307343E-4</v>
      </c>
      <c r="L44" s="11">
        <f t="shared" si="6"/>
        <v>3.3333333332848269E-2</v>
      </c>
      <c r="M44" s="11">
        <f t="shared" si="7"/>
        <v>0</v>
      </c>
      <c r="N44" s="11">
        <f t="shared" si="8"/>
        <v>1.0416666700621136E-3</v>
      </c>
      <c r="O44" s="11">
        <f t="shared" si="9"/>
        <v>3.5243055564933456E-2</v>
      </c>
    </row>
    <row r="45" spans="1:15" x14ac:dyDescent="0.45">
      <c r="A45" s="3" t="s">
        <v>351</v>
      </c>
      <c r="B45" s="3" t="s">
        <v>350</v>
      </c>
      <c r="C45" s="9">
        <v>128</v>
      </c>
      <c r="D45" s="3" t="s">
        <v>814</v>
      </c>
      <c r="E45" s="10">
        <v>45667.337592592587</v>
      </c>
      <c r="F45" s="10">
        <v>45667.338460648149</v>
      </c>
      <c r="G45" s="10">
        <v>45667.360682870371</v>
      </c>
      <c r="H45" s="10">
        <v>45667.360682870371</v>
      </c>
      <c r="I45" s="10">
        <v>45667.360682870371</v>
      </c>
      <c r="J45" s="10">
        <v>45667.361377314817</v>
      </c>
      <c r="K45" s="11">
        <f t="shared" si="5"/>
        <v>8.6805556202307343E-4</v>
      </c>
      <c r="L45" s="11">
        <f t="shared" si="6"/>
        <v>2.2222222221898846E-2</v>
      </c>
      <c r="M45" s="11">
        <f t="shared" si="7"/>
        <v>0</v>
      </c>
      <c r="N45" s="11">
        <f t="shared" si="8"/>
        <v>6.944444467080757E-4</v>
      </c>
      <c r="O45" s="11">
        <f t="shared" si="9"/>
        <v>2.3784722230629995E-2</v>
      </c>
    </row>
    <row r="46" spans="1:15" x14ac:dyDescent="0.45">
      <c r="A46" s="3" t="s">
        <v>567</v>
      </c>
      <c r="B46" s="3" t="s">
        <v>231</v>
      </c>
      <c r="C46" s="9">
        <v>144</v>
      </c>
      <c r="D46" s="3" t="s">
        <v>813</v>
      </c>
      <c r="E46" s="10">
        <v>45667.399212962962</v>
      </c>
      <c r="F46" s="10">
        <v>45667.400069444448</v>
      </c>
      <c r="G46" s="10">
        <v>45667.425069444442</v>
      </c>
      <c r="H46" s="10">
        <v>45667.425069444442</v>
      </c>
      <c r="I46" s="10">
        <v>45667.425069444442</v>
      </c>
      <c r="J46" s="10">
        <v>45667.425868055558</v>
      </c>
      <c r="K46" s="11">
        <f t="shared" si="5"/>
        <v>8.5648148524342105E-4</v>
      </c>
      <c r="L46" s="11">
        <f t="shared" si="6"/>
        <v>2.4999999994179234E-2</v>
      </c>
      <c r="M46" s="11">
        <f t="shared" si="7"/>
        <v>0</v>
      </c>
      <c r="N46" s="11">
        <f t="shared" si="8"/>
        <v>7.9861111589707434E-4</v>
      </c>
      <c r="O46" s="11">
        <f t="shared" si="9"/>
        <v>2.6655092595319729E-2</v>
      </c>
    </row>
    <row r="47" spans="1:15" x14ac:dyDescent="0.45">
      <c r="A47" s="3" t="s">
        <v>597</v>
      </c>
      <c r="B47" s="3" t="s">
        <v>247</v>
      </c>
      <c r="C47" s="9">
        <v>128</v>
      </c>
      <c r="D47" s="3" t="s">
        <v>813</v>
      </c>
      <c r="E47" s="10">
        <v>45667.563078703701</v>
      </c>
      <c r="F47" s="10">
        <v>45667.568067129629</v>
      </c>
      <c r="G47" s="10">
        <v>45667.590289351851</v>
      </c>
      <c r="H47" s="10">
        <v>45667.590289351851</v>
      </c>
      <c r="I47" s="10">
        <v>45667.590289351851</v>
      </c>
      <c r="J47" s="10">
        <v>45667.591053240743</v>
      </c>
      <c r="K47" s="11">
        <f t="shared" si="5"/>
        <v>4.9884259278769605E-3</v>
      </c>
      <c r="L47" s="11">
        <f t="shared" si="6"/>
        <v>2.2222222221898846E-2</v>
      </c>
      <c r="M47" s="11">
        <f t="shared" si="7"/>
        <v>0</v>
      </c>
      <c r="N47" s="11">
        <f t="shared" si="8"/>
        <v>7.638888928340748E-4</v>
      </c>
      <c r="O47" s="11">
        <f t="shared" si="9"/>
        <v>2.7974537042609882E-2</v>
      </c>
    </row>
    <row r="48" spans="1:15" x14ac:dyDescent="0.45">
      <c r="A48" s="3" t="s">
        <v>580</v>
      </c>
      <c r="B48" s="3" t="s">
        <v>263</v>
      </c>
      <c r="C48" s="9">
        <v>128</v>
      </c>
      <c r="D48" s="3" t="s">
        <v>819</v>
      </c>
      <c r="E48" s="10">
        <v>45667.566377314812</v>
      </c>
      <c r="F48" s="10">
        <v>45667.570462962962</v>
      </c>
      <c r="G48" s="10">
        <v>45667.592685185176</v>
      </c>
      <c r="H48" s="10">
        <v>45667.592685185176</v>
      </c>
      <c r="I48" s="10">
        <v>45667.592685185176</v>
      </c>
      <c r="J48" s="10">
        <v>45667.593518518523</v>
      </c>
      <c r="K48" s="11">
        <f t="shared" si="5"/>
        <v>4.0856481500668451E-3</v>
      </c>
      <c r="L48" s="11">
        <f t="shared" si="6"/>
        <v>2.2222222214622889E-2</v>
      </c>
      <c r="M48" s="11">
        <f t="shared" si="7"/>
        <v>0</v>
      </c>
      <c r="N48" s="11">
        <f t="shared" si="8"/>
        <v>8.333333462360315E-4</v>
      </c>
      <c r="O48" s="11">
        <f t="shared" si="9"/>
        <v>2.7141203710925765E-2</v>
      </c>
    </row>
    <row r="49" spans="1:15" x14ac:dyDescent="0.45">
      <c r="A49" s="3" t="s">
        <v>552</v>
      </c>
      <c r="B49" s="3" t="s">
        <v>237</v>
      </c>
      <c r="C49" s="9">
        <v>176</v>
      </c>
      <c r="D49" s="3" t="s">
        <v>817</v>
      </c>
      <c r="E49" s="10">
        <v>45667.568645833337</v>
      </c>
      <c r="F49" s="10">
        <v>45667.575150462973</v>
      </c>
      <c r="G49" s="10">
        <v>45667.605706018519</v>
      </c>
      <c r="H49" s="10">
        <v>45667.605706018519</v>
      </c>
      <c r="I49" s="10">
        <v>45667.605706018519</v>
      </c>
      <c r="J49" s="10">
        <v>45667.606608796297</v>
      </c>
      <c r="K49" s="11">
        <f t="shared" si="5"/>
        <v>6.5046296367654577E-3</v>
      </c>
      <c r="L49" s="11">
        <f t="shared" si="6"/>
        <v>3.0555555546015967E-2</v>
      </c>
      <c r="M49" s="11">
        <f t="shared" si="7"/>
        <v>0</v>
      </c>
      <c r="N49" s="11">
        <f t="shared" si="8"/>
        <v>9.0277777781011537E-4</v>
      </c>
      <c r="O49" s="11">
        <f t="shared" si="9"/>
        <v>3.796296296059154E-2</v>
      </c>
    </row>
    <row r="50" spans="1:15" x14ac:dyDescent="0.45">
      <c r="A50" s="3" t="s">
        <v>594</v>
      </c>
      <c r="B50" s="3" t="s">
        <v>231</v>
      </c>
      <c r="C50" s="9">
        <v>128</v>
      </c>
      <c r="D50" s="3" t="s">
        <v>818</v>
      </c>
      <c r="E50" s="10">
        <v>45667.568819444437</v>
      </c>
      <c r="F50" s="10">
        <v>45667.591990740737</v>
      </c>
      <c r="G50" s="10">
        <v>45667.614212962973</v>
      </c>
      <c r="H50" s="10">
        <v>45667.614212962973</v>
      </c>
      <c r="I50" s="10">
        <v>45667.614212962973</v>
      </c>
      <c r="J50" s="10">
        <v>45667.615057870367</v>
      </c>
      <c r="K50" s="11">
        <f t="shared" si="5"/>
        <v>2.3171296299551614E-2</v>
      </c>
      <c r="L50" s="11">
        <f t="shared" si="6"/>
        <v>2.2222222236450762E-2</v>
      </c>
      <c r="M50" s="11">
        <f t="shared" si="7"/>
        <v>0</v>
      </c>
      <c r="N50" s="11">
        <f t="shared" si="8"/>
        <v>8.4490739391185343E-4</v>
      </c>
      <c r="O50" s="11">
        <f t="shared" si="9"/>
        <v>4.6238425929914229E-2</v>
      </c>
    </row>
    <row r="51" spans="1:15" x14ac:dyDescent="0.45">
      <c r="A51" s="3" t="s">
        <v>577</v>
      </c>
      <c r="B51" s="3" t="s">
        <v>283</v>
      </c>
      <c r="C51" s="9">
        <v>176</v>
      </c>
      <c r="D51" s="3" t="s">
        <v>815</v>
      </c>
      <c r="E51" s="10">
        <v>45667.573414351849</v>
      </c>
      <c r="F51" s="10">
        <v>45667.594421296293</v>
      </c>
      <c r="G51" s="10">
        <v>45667.624976851846</v>
      </c>
      <c r="H51" s="10">
        <v>45667.624976851846</v>
      </c>
      <c r="I51" s="10">
        <v>45667.624976851846</v>
      </c>
      <c r="J51" s="10">
        <v>45667.625972222217</v>
      </c>
      <c r="K51" s="11">
        <f t="shared" si="5"/>
        <v>2.1006944443797693E-2</v>
      </c>
      <c r="L51" s="11">
        <f t="shared" si="6"/>
        <v>3.0555555553291924E-2</v>
      </c>
      <c r="M51" s="11">
        <f t="shared" si="7"/>
        <v>0</v>
      </c>
      <c r="N51" s="11">
        <f t="shared" si="8"/>
        <v>9.9537037021946162E-4</v>
      </c>
      <c r="O51" s="11">
        <f t="shared" si="9"/>
        <v>5.2557870367309079E-2</v>
      </c>
    </row>
    <row r="52" spans="1:15" x14ac:dyDescent="0.45">
      <c r="A52" s="3" t="s">
        <v>570</v>
      </c>
      <c r="B52" s="3" t="s">
        <v>354</v>
      </c>
      <c r="C52" s="9">
        <v>128</v>
      </c>
      <c r="D52" s="3" t="s">
        <v>816</v>
      </c>
      <c r="E52" s="10">
        <v>45667.645694444444</v>
      </c>
      <c r="F52" s="10">
        <v>45667.646562499998</v>
      </c>
      <c r="G52" s="10">
        <v>45667.66878472222</v>
      </c>
      <c r="H52" s="10">
        <v>45667.66878472222</v>
      </c>
      <c r="I52" s="10">
        <v>45667.66878472222</v>
      </c>
      <c r="J52" s="10">
        <v>45667.66951388889</v>
      </c>
      <c r="K52" s="11">
        <f t="shared" si="5"/>
        <v>8.6805555474711582E-4</v>
      </c>
      <c r="L52" s="11">
        <f t="shared" si="6"/>
        <v>2.2222222221898846E-2</v>
      </c>
      <c r="M52" s="11">
        <f t="shared" si="7"/>
        <v>0</v>
      </c>
      <c r="N52" s="11">
        <f t="shared" si="8"/>
        <v>7.2916666977107525E-4</v>
      </c>
      <c r="O52" s="11">
        <f t="shared" si="9"/>
        <v>2.3819444446417037E-2</v>
      </c>
    </row>
    <row r="53" spans="1:15" x14ac:dyDescent="0.45">
      <c r="A53" s="3" t="s">
        <v>624</v>
      </c>
      <c r="B53" s="3" t="s">
        <v>231</v>
      </c>
      <c r="C53" s="9">
        <v>128</v>
      </c>
      <c r="D53" s="3" t="s">
        <v>817</v>
      </c>
      <c r="E53" s="10">
        <v>45667.652627314812</v>
      </c>
      <c r="F53" s="10">
        <v>45667.65347222222</v>
      </c>
      <c r="G53" s="10">
        <v>45667.675694444442</v>
      </c>
      <c r="H53" s="10">
        <v>45667.675694444442</v>
      </c>
      <c r="I53" s="10">
        <v>45667.675694444442</v>
      </c>
      <c r="J53" s="10">
        <v>45667.676493055558</v>
      </c>
      <c r="K53" s="11">
        <f t="shared" si="5"/>
        <v>8.4490740846376866E-4</v>
      </c>
      <c r="L53" s="11">
        <f t="shared" si="6"/>
        <v>2.2222222221898846E-2</v>
      </c>
      <c r="M53" s="11">
        <f t="shared" si="7"/>
        <v>0</v>
      </c>
      <c r="N53" s="11">
        <f t="shared" si="8"/>
        <v>7.9861111589707434E-4</v>
      </c>
      <c r="O53" s="11">
        <f t="shared" si="9"/>
        <v>2.3865740746259689E-2</v>
      </c>
    </row>
    <row r="54" spans="1:15" x14ac:dyDescent="0.45">
      <c r="A54" s="3" t="s">
        <v>629</v>
      </c>
      <c r="B54" s="3" t="s">
        <v>263</v>
      </c>
      <c r="C54" s="9">
        <v>160</v>
      </c>
      <c r="D54" s="3" t="s">
        <v>815</v>
      </c>
      <c r="E54" s="10">
        <v>45667.676944444444</v>
      </c>
      <c r="F54" s="10">
        <v>45667.677812499998</v>
      </c>
      <c r="G54" s="10">
        <v>45667.705590277779</v>
      </c>
      <c r="H54" s="10">
        <v>45667.705590277779</v>
      </c>
      <c r="I54" s="10">
        <v>45667.705590277779</v>
      </c>
      <c r="J54" s="10">
        <v>45667.706550925926</v>
      </c>
      <c r="K54" s="11">
        <f t="shared" si="5"/>
        <v>8.6805555474711582E-4</v>
      </c>
      <c r="L54" s="11">
        <f t="shared" si="6"/>
        <v>2.7777777781011537E-2</v>
      </c>
      <c r="M54" s="11">
        <f t="shared" si="7"/>
        <v>0</v>
      </c>
      <c r="N54" s="11">
        <f t="shared" si="8"/>
        <v>9.6064814715646207E-4</v>
      </c>
      <c r="O54" s="11">
        <f t="shared" si="9"/>
        <v>2.9606481482915115E-2</v>
      </c>
    </row>
    <row r="55" spans="1:15" x14ac:dyDescent="0.45">
      <c r="A55" s="3" t="s">
        <v>478</v>
      </c>
      <c r="B55" s="3" t="s">
        <v>255</v>
      </c>
      <c r="C55" s="9">
        <v>160</v>
      </c>
      <c r="D55" s="3" t="s">
        <v>820</v>
      </c>
      <c r="E55" s="10">
        <v>45667.703483796293</v>
      </c>
      <c r="F55" s="10">
        <v>45667.704270833332</v>
      </c>
      <c r="G55" s="10">
        <v>45667.732048611113</v>
      </c>
      <c r="H55" s="10">
        <v>45667.732048611113</v>
      </c>
      <c r="I55" s="10">
        <v>45667.732048611113</v>
      </c>
      <c r="J55" s="10">
        <v>45667.732928240737</v>
      </c>
      <c r="K55" s="11">
        <f t="shared" si="5"/>
        <v>7.8703703911742195E-4</v>
      </c>
      <c r="L55" s="11">
        <f t="shared" si="6"/>
        <v>2.7777777781011537E-2</v>
      </c>
      <c r="M55" s="11">
        <f t="shared" si="7"/>
        <v>0</v>
      </c>
      <c r="N55" s="11">
        <f t="shared" si="8"/>
        <v>8.7962962425081059E-4</v>
      </c>
      <c r="O55" s="11">
        <f t="shared" si="9"/>
        <v>2.9444444444379769E-2</v>
      </c>
    </row>
    <row r="56" spans="1:15" x14ac:dyDescent="0.45">
      <c r="A56" s="3" t="s">
        <v>606</v>
      </c>
      <c r="B56" s="3" t="s">
        <v>247</v>
      </c>
      <c r="C56" s="9">
        <v>176</v>
      </c>
      <c r="D56" s="3" t="s">
        <v>821</v>
      </c>
      <c r="E56" s="10">
        <v>45667.704699074071</v>
      </c>
      <c r="F56" s="10">
        <v>45667.706412037027</v>
      </c>
      <c r="G56" s="10">
        <v>45667.736967592587</v>
      </c>
      <c r="H56" s="10">
        <v>45667.736967592587</v>
      </c>
      <c r="I56" s="10">
        <v>45667.736967592587</v>
      </c>
      <c r="J56" s="10">
        <v>45667.737962962958</v>
      </c>
      <c r="K56" s="11">
        <f t="shared" si="5"/>
        <v>1.7129629559349269E-3</v>
      </c>
      <c r="L56" s="11">
        <f t="shared" si="6"/>
        <v>3.0555555560567882E-2</v>
      </c>
      <c r="M56" s="11">
        <f t="shared" si="7"/>
        <v>0</v>
      </c>
      <c r="N56" s="11">
        <f t="shared" si="8"/>
        <v>9.9537037021946162E-4</v>
      </c>
      <c r="O56" s="11">
        <f t="shared" si="9"/>
        <v>3.326388888672227E-2</v>
      </c>
    </row>
    <row r="57" spans="1:15" x14ac:dyDescent="0.45">
      <c r="A57" s="3" t="s">
        <v>660</v>
      </c>
      <c r="B57" s="3" t="s">
        <v>231</v>
      </c>
      <c r="C57" s="9">
        <v>144</v>
      </c>
      <c r="D57" s="3" t="s">
        <v>818</v>
      </c>
      <c r="E57" s="10">
        <v>45668.272581018522</v>
      </c>
      <c r="F57" s="10">
        <v>45668.273414351846</v>
      </c>
      <c r="G57" s="10">
        <v>45668.298414351862</v>
      </c>
      <c r="H57" s="10">
        <v>45668.298414351862</v>
      </c>
      <c r="I57" s="10">
        <v>45668.298414351862</v>
      </c>
      <c r="J57" s="10">
        <v>45668.299293981479</v>
      </c>
      <c r="K57" s="11">
        <f t="shared" si="5"/>
        <v>8.3333332440815866E-4</v>
      </c>
      <c r="L57" s="11">
        <f t="shared" si="6"/>
        <v>2.5000000016007107E-2</v>
      </c>
      <c r="M57" s="11">
        <f t="shared" si="7"/>
        <v>0</v>
      </c>
      <c r="N57" s="11">
        <f t="shared" si="8"/>
        <v>8.7962961697485298E-4</v>
      </c>
      <c r="O57" s="11">
        <f t="shared" si="9"/>
        <v>2.6712962957390118E-2</v>
      </c>
    </row>
    <row r="58" spans="1:15" x14ac:dyDescent="0.45">
      <c r="A58" s="3" t="s">
        <v>619</v>
      </c>
      <c r="B58" s="3" t="s">
        <v>237</v>
      </c>
      <c r="C58" s="9">
        <v>112</v>
      </c>
      <c r="D58" s="3" t="s">
        <v>813</v>
      </c>
      <c r="E58" s="10">
        <v>45668.276932870373</v>
      </c>
      <c r="F58" s="10">
        <v>45668.277800925927</v>
      </c>
      <c r="G58" s="10">
        <v>45668.29724537037</v>
      </c>
      <c r="H58" s="10">
        <v>45668.29724537037</v>
      </c>
      <c r="I58" s="10">
        <v>45668.29724537037</v>
      </c>
      <c r="J58" s="10">
        <v>45668.297962962963</v>
      </c>
      <c r="K58" s="11">
        <f t="shared" si="5"/>
        <v>8.6805555474711582E-4</v>
      </c>
      <c r="L58" s="11">
        <f t="shared" si="6"/>
        <v>1.9444444442342501E-2</v>
      </c>
      <c r="M58" s="11">
        <f t="shared" si="7"/>
        <v>0</v>
      </c>
      <c r="N58" s="11">
        <f t="shared" si="8"/>
        <v>7.1759259299142286E-4</v>
      </c>
      <c r="O58" s="11">
        <f t="shared" si="9"/>
        <v>2.103009259008104E-2</v>
      </c>
    </row>
    <row r="59" spans="1:15" x14ac:dyDescent="0.45">
      <c r="A59" s="3" t="s">
        <v>674</v>
      </c>
      <c r="B59" s="3" t="s">
        <v>237</v>
      </c>
      <c r="C59" s="9">
        <v>176</v>
      </c>
      <c r="D59" s="3" t="s">
        <v>821</v>
      </c>
      <c r="E59" s="10">
        <v>45668.294571759259</v>
      </c>
      <c r="F59" s="10">
        <v>45668.296203703707</v>
      </c>
      <c r="G59" s="10">
        <v>45668.32675925926</v>
      </c>
      <c r="H59" s="10">
        <v>45668.32675925926</v>
      </c>
      <c r="I59" s="10">
        <v>45668.32675925926</v>
      </c>
      <c r="J59" s="10">
        <v>45668.327766203707</v>
      </c>
      <c r="K59" s="11">
        <f t="shared" si="5"/>
        <v>1.6319444475811906E-3</v>
      </c>
      <c r="L59" s="11">
        <f t="shared" si="6"/>
        <v>3.0555555553291924E-2</v>
      </c>
      <c r="M59" s="11">
        <f t="shared" si="7"/>
        <v>0</v>
      </c>
      <c r="N59" s="11">
        <f t="shared" si="8"/>
        <v>1.006944446999114E-3</v>
      </c>
      <c r="O59" s="11">
        <f t="shared" si="9"/>
        <v>3.3194444447872229E-2</v>
      </c>
    </row>
    <row r="60" spans="1:15" x14ac:dyDescent="0.45">
      <c r="A60" s="3" t="s">
        <v>657</v>
      </c>
      <c r="B60" s="3" t="s">
        <v>255</v>
      </c>
      <c r="C60" s="9">
        <v>176</v>
      </c>
      <c r="D60" s="3" t="s">
        <v>819</v>
      </c>
      <c r="E60" s="10">
        <v>45668.307291666657</v>
      </c>
      <c r="F60" s="10">
        <v>45668.308159722219</v>
      </c>
      <c r="G60" s="10">
        <v>45668.33871527778</v>
      </c>
      <c r="H60" s="10">
        <v>45668.33871527778</v>
      </c>
      <c r="I60" s="10">
        <v>45668.33871527778</v>
      </c>
      <c r="J60" s="10">
        <v>45668.33965277778</v>
      </c>
      <c r="K60" s="11">
        <f t="shared" si="5"/>
        <v>8.6805556202307343E-4</v>
      </c>
      <c r="L60" s="11">
        <f t="shared" si="6"/>
        <v>3.0555555560567882E-2</v>
      </c>
      <c r="M60" s="11">
        <f t="shared" si="7"/>
        <v>0</v>
      </c>
      <c r="N60" s="11">
        <f t="shared" si="8"/>
        <v>9.3750000087311491E-4</v>
      </c>
      <c r="O60" s="11">
        <f t="shared" si="9"/>
        <v>3.236111112346407E-2</v>
      </c>
    </row>
    <row r="61" spans="1:15" x14ac:dyDescent="0.45">
      <c r="A61" s="3" t="s">
        <v>649</v>
      </c>
      <c r="B61" s="3" t="s">
        <v>263</v>
      </c>
      <c r="C61" s="9">
        <v>128</v>
      </c>
      <c r="D61" s="3" t="s">
        <v>817</v>
      </c>
      <c r="E61" s="10">
        <v>45668.318692129629</v>
      </c>
      <c r="F61" s="10">
        <v>45668.326319444437</v>
      </c>
      <c r="G61" s="10">
        <v>45668.348541666674</v>
      </c>
      <c r="H61" s="10">
        <v>45668.348541666674</v>
      </c>
      <c r="I61" s="10">
        <v>45668.348541666674</v>
      </c>
      <c r="J61" s="10">
        <v>45668.349340277768</v>
      </c>
      <c r="K61" s="11">
        <f t="shared" si="5"/>
        <v>7.6273148079053499E-3</v>
      </c>
      <c r="L61" s="11">
        <f t="shared" si="6"/>
        <v>2.2222222236450762E-2</v>
      </c>
      <c r="M61" s="11">
        <f t="shared" si="7"/>
        <v>0</v>
      </c>
      <c r="N61" s="11">
        <f t="shared" si="8"/>
        <v>7.986110940692015E-4</v>
      </c>
      <c r="O61" s="11">
        <f t="shared" si="9"/>
        <v>3.0648148138425313E-2</v>
      </c>
    </row>
    <row r="62" spans="1:15" x14ac:dyDescent="0.45">
      <c r="A62" s="3" t="s">
        <v>642</v>
      </c>
      <c r="B62" s="3" t="s">
        <v>354</v>
      </c>
      <c r="C62" s="9">
        <v>128</v>
      </c>
      <c r="D62" s="3" t="s">
        <v>816</v>
      </c>
      <c r="E62" s="10">
        <v>45668.515185185177</v>
      </c>
      <c r="F62" s="10">
        <v>45668.516018518523</v>
      </c>
      <c r="G62" s="10">
        <v>45668.538240740738</v>
      </c>
      <c r="H62" s="10">
        <v>45668.538240740738</v>
      </c>
      <c r="I62" s="10">
        <v>45668.538240740738</v>
      </c>
      <c r="J62" s="10">
        <v>45668.538958333331</v>
      </c>
      <c r="K62" s="11">
        <f t="shared" si="5"/>
        <v>8.333333462360315E-4</v>
      </c>
      <c r="L62" s="11">
        <f t="shared" si="6"/>
        <v>2.2222222214622889E-2</v>
      </c>
      <c r="M62" s="11">
        <f t="shared" si="7"/>
        <v>0</v>
      </c>
      <c r="N62" s="11">
        <f t="shared" si="8"/>
        <v>7.1759259299142286E-4</v>
      </c>
      <c r="O62" s="11">
        <f t="shared" si="9"/>
        <v>2.3773148153850343E-2</v>
      </c>
    </row>
    <row r="63" spans="1:15" x14ac:dyDescent="0.45">
      <c r="A63" s="3" t="s">
        <v>654</v>
      </c>
      <c r="B63" s="3" t="s">
        <v>283</v>
      </c>
      <c r="C63" s="9">
        <v>160</v>
      </c>
      <c r="D63" s="3" t="s">
        <v>815</v>
      </c>
      <c r="E63" s="10">
        <v>45668.533854166657</v>
      </c>
      <c r="F63" s="10">
        <v>45668.535590277781</v>
      </c>
      <c r="G63" s="10">
        <v>45668.563368055547</v>
      </c>
      <c r="H63" s="10">
        <v>45668.563368055547</v>
      </c>
      <c r="I63" s="10">
        <v>45668.563368055547</v>
      </c>
      <c r="J63" s="10">
        <v>45668.564328703702</v>
      </c>
      <c r="K63" s="11">
        <f t="shared" si="5"/>
        <v>1.7361111240461469E-3</v>
      </c>
      <c r="L63" s="11">
        <f t="shared" si="6"/>
        <v>2.7777777766459621E-2</v>
      </c>
      <c r="M63" s="11">
        <f t="shared" si="7"/>
        <v>0</v>
      </c>
      <c r="N63" s="11">
        <f t="shared" si="8"/>
        <v>9.6064815443241969E-4</v>
      </c>
      <c r="O63" s="11">
        <f t="shared" si="9"/>
        <v>3.0474537044938188E-2</v>
      </c>
    </row>
    <row r="64" spans="1:15" x14ac:dyDescent="0.45">
      <c r="A64" s="3" t="s">
        <v>591</v>
      </c>
      <c r="B64" s="3" t="s">
        <v>350</v>
      </c>
      <c r="C64" s="9">
        <v>144</v>
      </c>
      <c r="D64" s="3" t="s">
        <v>814</v>
      </c>
      <c r="E64" s="10">
        <v>45668.542905092603</v>
      </c>
      <c r="F64" s="10">
        <v>45668.544629629629</v>
      </c>
      <c r="G64" s="10">
        <v>45668.56962962963</v>
      </c>
      <c r="H64" s="10">
        <v>45668.56962962963</v>
      </c>
      <c r="I64" s="10">
        <v>45668.56962962963</v>
      </c>
      <c r="J64" s="10">
        <v>45668.5703587963</v>
      </c>
      <c r="K64" s="11">
        <f t="shared" si="5"/>
        <v>1.7245370254386216E-3</v>
      </c>
      <c r="L64" s="11">
        <f t="shared" si="6"/>
        <v>2.5000000001455192E-2</v>
      </c>
      <c r="M64" s="11">
        <f t="shared" si="7"/>
        <v>0</v>
      </c>
      <c r="N64" s="11">
        <f t="shared" si="8"/>
        <v>7.2916666977107525E-4</v>
      </c>
      <c r="O64" s="11">
        <f t="shared" si="9"/>
        <v>2.7453703696664888E-2</v>
      </c>
    </row>
    <row r="65" spans="1:15" x14ac:dyDescent="0.45">
      <c r="A65" s="3" t="s">
        <v>693</v>
      </c>
      <c r="B65" s="3" t="s">
        <v>263</v>
      </c>
      <c r="C65" s="9">
        <v>160</v>
      </c>
      <c r="D65" s="3" t="s">
        <v>813</v>
      </c>
      <c r="E65" s="10">
        <v>45668.542939814812</v>
      </c>
      <c r="F65" s="10">
        <v>45668.546469907407</v>
      </c>
      <c r="G65" s="10">
        <v>45668.574247685188</v>
      </c>
      <c r="H65" s="10">
        <v>45668.574247685188</v>
      </c>
      <c r="I65" s="10">
        <v>45668.574247685188</v>
      </c>
      <c r="J65" s="10">
        <v>45668.575092592589</v>
      </c>
      <c r="K65" s="11">
        <f t="shared" si="5"/>
        <v>3.5300925956107676E-3</v>
      </c>
      <c r="L65" s="11">
        <f t="shared" si="6"/>
        <v>2.7777777781011537E-2</v>
      </c>
      <c r="M65" s="11">
        <f t="shared" si="7"/>
        <v>0</v>
      </c>
      <c r="N65" s="11">
        <f t="shared" si="8"/>
        <v>8.4490740118781105E-4</v>
      </c>
      <c r="O65" s="11">
        <f t="shared" si="9"/>
        <v>3.2152777777810115E-2</v>
      </c>
    </row>
    <row r="66" spans="1:15" x14ac:dyDescent="0.45">
      <c r="A66" s="3" t="s">
        <v>696</v>
      </c>
      <c r="B66" s="3" t="s">
        <v>237</v>
      </c>
      <c r="C66" s="9">
        <v>112</v>
      </c>
      <c r="D66" s="3" t="s">
        <v>817</v>
      </c>
      <c r="E66" s="10">
        <v>45668.544224537043</v>
      </c>
      <c r="F66" s="10">
        <v>45668.575925925928</v>
      </c>
      <c r="G66" s="10">
        <v>45668.595370370371</v>
      </c>
      <c r="H66" s="10">
        <v>45668.595370370371</v>
      </c>
      <c r="I66" s="10">
        <v>45668.595370370371</v>
      </c>
      <c r="J66" s="10">
        <v>45668.596134259264</v>
      </c>
      <c r="K66" s="11">
        <f t="shared" ref="K66:K79" si="10">IF(AND(ISNUMBER(E66),ISNUMBER(F66)),(F66-E66),"")</f>
        <v>3.1701388885267079E-2</v>
      </c>
      <c r="L66" s="11">
        <f t="shared" ref="L66:L79" si="11">IF(AND(ISNUMBER(F66),ISNUMBER(G66)),(G66-F66),"")</f>
        <v>1.9444444442342501E-2</v>
      </c>
      <c r="M66" s="11">
        <f t="shared" ref="M66:M79" si="12">IF(AND(ISNUMBER(H66),ISNUMBER(I66)),(I66-H66),"")</f>
        <v>0</v>
      </c>
      <c r="N66" s="11">
        <f t="shared" ref="N66:N79" si="13">IF(AND(ISNUMBER(I66),ISNUMBER(J66)),(J66-I66),"")</f>
        <v>7.638888928340748E-4</v>
      </c>
      <c r="O66" s="11">
        <f t="shared" ref="O66:O79" si="14">IF(AND(ISNUMBER(E66),ISNUMBER(J66)),(J66-E66),"")</f>
        <v>5.1909722220443655E-2</v>
      </c>
    </row>
    <row r="67" spans="1:15" x14ac:dyDescent="0.45">
      <c r="A67" s="3" t="s">
        <v>718</v>
      </c>
      <c r="B67" s="3" t="s">
        <v>237</v>
      </c>
      <c r="C67" s="9">
        <v>176</v>
      </c>
      <c r="D67" s="3" t="s">
        <v>818</v>
      </c>
      <c r="E67" s="10">
        <v>45668.584421296298</v>
      </c>
      <c r="F67" s="10">
        <v>45668.585266203707</v>
      </c>
      <c r="G67" s="10">
        <v>45668.61582175926</v>
      </c>
      <c r="H67" s="10">
        <v>45668.61582175926</v>
      </c>
      <c r="I67" s="10">
        <v>45668.61582175926</v>
      </c>
      <c r="J67" s="10">
        <v>45668.616770833331</v>
      </c>
      <c r="K67" s="11">
        <f t="shared" si="10"/>
        <v>8.4490740846376866E-4</v>
      </c>
      <c r="L67" s="11">
        <f t="shared" si="11"/>
        <v>3.0555555553291924E-2</v>
      </c>
      <c r="M67" s="11">
        <f t="shared" si="12"/>
        <v>0</v>
      </c>
      <c r="N67" s="11">
        <f t="shared" si="13"/>
        <v>9.4907407037680969E-4</v>
      </c>
      <c r="O67" s="11">
        <f t="shared" si="14"/>
        <v>3.2349537032132503E-2</v>
      </c>
    </row>
    <row r="68" spans="1:15" x14ac:dyDescent="0.45">
      <c r="A68" s="3" t="s">
        <v>728</v>
      </c>
      <c r="B68" s="3" t="s">
        <v>283</v>
      </c>
      <c r="C68" s="9">
        <v>112</v>
      </c>
      <c r="D68" s="3" t="s">
        <v>816</v>
      </c>
      <c r="E68" s="10">
        <v>45668.900173611109</v>
      </c>
      <c r="F68" s="10">
        <v>45668.901041666657</v>
      </c>
      <c r="G68" s="10">
        <v>45668.920486111107</v>
      </c>
      <c r="H68" s="10">
        <v>45668.920486111107</v>
      </c>
      <c r="I68" s="10">
        <v>45668.920486111107</v>
      </c>
      <c r="J68" s="10">
        <v>45668.921168981477</v>
      </c>
      <c r="K68" s="11">
        <f t="shared" si="10"/>
        <v>8.6805554747115821E-4</v>
      </c>
      <c r="L68" s="11">
        <f t="shared" si="11"/>
        <v>1.9444444449618459E-2</v>
      </c>
      <c r="M68" s="11">
        <f t="shared" si="12"/>
        <v>0</v>
      </c>
      <c r="N68" s="11">
        <f t="shared" si="13"/>
        <v>6.8287036992842332E-4</v>
      </c>
      <c r="O68" s="11">
        <f t="shared" si="14"/>
        <v>2.099537036701804E-2</v>
      </c>
    </row>
    <row r="69" spans="1:15" x14ac:dyDescent="0.45">
      <c r="A69" s="3" t="s">
        <v>671</v>
      </c>
      <c r="B69" s="3" t="s">
        <v>231</v>
      </c>
      <c r="C69" s="9">
        <v>256</v>
      </c>
      <c r="D69" s="3" t="s">
        <v>820</v>
      </c>
      <c r="E69" s="10">
        <v>45668.902407407397</v>
      </c>
      <c r="F69" s="10">
        <v>45668.903275462973</v>
      </c>
      <c r="G69" s="10">
        <v>45668.94771990741</v>
      </c>
      <c r="H69" s="10">
        <v>45668.94771990741</v>
      </c>
      <c r="I69" s="10">
        <v>45668.94771990741</v>
      </c>
      <c r="J69" s="10">
        <v>45668.948819444442</v>
      </c>
      <c r="K69" s="11">
        <f t="shared" si="10"/>
        <v>8.6805557657498866E-4</v>
      </c>
      <c r="L69" s="11">
        <f t="shared" si="11"/>
        <v>4.4444444436521735E-2</v>
      </c>
      <c r="M69" s="11">
        <f t="shared" si="12"/>
        <v>0</v>
      </c>
      <c r="N69" s="11">
        <f t="shared" si="13"/>
        <v>1.0995370321325026E-3</v>
      </c>
      <c r="O69" s="11">
        <f t="shared" si="14"/>
        <v>4.6412037045229226E-2</v>
      </c>
    </row>
    <row r="70" spans="1:15" x14ac:dyDescent="0.45">
      <c r="A70" s="3" t="s">
        <v>750</v>
      </c>
      <c r="B70" s="3" t="s">
        <v>263</v>
      </c>
      <c r="C70" s="9">
        <v>128</v>
      </c>
      <c r="D70" s="3" t="s">
        <v>816</v>
      </c>
      <c r="E70" s="10">
        <v>45668.997210648151</v>
      </c>
      <c r="F70" s="10">
        <v>45668.998078703713</v>
      </c>
      <c r="G70" s="10">
        <v>45669.020300925928</v>
      </c>
      <c r="H70" s="10">
        <v>45669.020300925928</v>
      </c>
      <c r="I70" s="10">
        <v>45669.020300925928</v>
      </c>
      <c r="J70" s="10">
        <v>45669.02103009259</v>
      </c>
      <c r="K70" s="11">
        <f t="shared" si="10"/>
        <v>8.6805556202307343E-4</v>
      </c>
      <c r="L70" s="11">
        <f t="shared" si="11"/>
        <v>2.2222222214622889E-2</v>
      </c>
      <c r="M70" s="11">
        <f t="shared" si="12"/>
        <v>0</v>
      </c>
      <c r="N70" s="11">
        <f t="shared" si="13"/>
        <v>7.2916666249511763E-4</v>
      </c>
      <c r="O70" s="11">
        <f t="shared" si="14"/>
        <v>2.381944443914108E-2</v>
      </c>
    </row>
    <row r="71" spans="1:15" x14ac:dyDescent="0.45">
      <c r="A71" s="3" t="s">
        <v>736</v>
      </c>
      <c r="B71" s="3" t="s">
        <v>255</v>
      </c>
      <c r="C71" s="9">
        <v>144</v>
      </c>
      <c r="D71" s="3" t="s">
        <v>813</v>
      </c>
      <c r="E71" s="10">
        <v>45669.358576388891</v>
      </c>
      <c r="F71" s="10">
        <v>45669.359444444453</v>
      </c>
      <c r="G71" s="10">
        <v>45669.384444444448</v>
      </c>
      <c r="H71" s="10">
        <v>45669.384444444448</v>
      </c>
      <c r="I71" s="10">
        <v>45669.384444444448</v>
      </c>
      <c r="J71" s="10">
        <v>45669.385243055563</v>
      </c>
      <c r="K71" s="11">
        <f t="shared" si="10"/>
        <v>8.6805556202307343E-4</v>
      </c>
      <c r="L71" s="11">
        <f t="shared" si="11"/>
        <v>2.4999999994179234E-2</v>
      </c>
      <c r="M71" s="11">
        <f t="shared" si="12"/>
        <v>0</v>
      </c>
      <c r="N71" s="11">
        <f t="shared" si="13"/>
        <v>7.9861111589707434E-4</v>
      </c>
      <c r="O71" s="11">
        <f t="shared" si="14"/>
        <v>2.6666666672099382E-2</v>
      </c>
    </row>
    <row r="72" spans="1:15" x14ac:dyDescent="0.45">
      <c r="A72" s="3" t="s">
        <v>715</v>
      </c>
      <c r="B72" s="3" t="s">
        <v>350</v>
      </c>
      <c r="C72" s="9">
        <v>160</v>
      </c>
      <c r="D72" s="3" t="s">
        <v>819</v>
      </c>
      <c r="E72" s="10">
        <v>45669.359305555547</v>
      </c>
      <c r="F72" s="10">
        <v>45669.360162037039</v>
      </c>
      <c r="G72" s="10">
        <v>45669.387939814813</v>
      </c>
      <c r="H72" s="10">
        <v>45669.387939814813</v>
      </c>
      <c r="I72" s="10">
        <v>45669.387939814813</v>
      </c>
      <c r="J72" s="10">
        <v>45669.388842592591</v>
      </c>
      <c r="K72" s="11">
        <f t="shared" si="10"/>
        <v>8.5648149251937866E-4</v>
      </c>
      <c r="L72" s="11">
        <f t="shared" si="11"/>
        <v>2.7777777773735579E-2</v>
      </c>
      <c r="M72" s="11">
        <f t="shared" si="12"/>
        <v>0</v>
      </c>
      <c r="N72" s="11">
        <f t="shared" si="13"/>
        <v>9.0277777781011537E-4</v>
      </c>
      <c r="O72" s="11">
        <f t="shared" si="14"/>
        <v>2.9537037044065073E-2</v>
      </c>
    </row>
    <row r="73" spans="1:15" x14ac:dyDescent="0.45">
      <c r="A73" s="3" t="s">
        <v>731</v>
      </c>
      <c r="B73" s="3" t="s">
        <v>247</v>
      </c>
      <c r="C73" s="9">
        <v>128</v>
      </c>
      <c r="D73" s="3" t="s">
        <v>822</v>
      </c>
      <c r="E73" s="10">
        <v>45669.417337962957</v>
      </c>
      <c r="F73" s="10">
        <v>45669.418206018519</v>
      </c>
      <c r="G73" s="10">
        <v>45669.440428240741</v>
      </c>
      <c r="H73" s="10">
        <v>45669.440428240741</v>
      </c>
      <c r="I73" s="10">
        <v>45669.440428240741</v>
      </c>
      <c r="J73" s="10">
        <v>45669.44127314815</v>
      </c>
      <c r="K73" s="11">
        <f t="shared" si="10"/>
        <v>8.6805556202307343E-4</v>
      </c>
      <c r="L73" s="11">
        <f t="shared" si="11"/>
        <v>2.2222222221898846E-2</v>
      </c>
      <c r="M73" s="11">
        <f t="shared" si="12"/>
        <v>0</v>
      </c>
      <c r="N73" s="11">
        <f t="shared" si="13"/>
        <v>8.4490740846376866E-4</v>
      </c>
      <c r="O73" s="11">
        <f t="shared" si="14"/>
        <v>2.3935185192385688E-2</v>
      </c>
    </row>
    <row r="74" spans="1:15" x14ac:dyDescent="0.45">
      <c r="A74" s="3" t="s">
        <v>723</v>
      </c>
      <c r="B74" s="3" t="s">
        <v>354</v>
      </c>
      <c r="C74" s="9">
        <v>128</v>
      </c>
      <c r="D74" s="3" t="s">
        <v>821</v>
      </c>
      <c r="E74" s="10">
        <v>45669.444837962961</v>
      </c>
      <c r="F74" s="10">
        <v>45669.44568287037</v>
      </c>
      <c r="G74" s="10">
        <v>45669.467905092592</v>
      </c>
      <c r="H74" s="10">
        <v>45669.467905092592</v>
      </c>
      <c r="I74" s="10">
        <v>45669.467905092592</v>
      </c>
      <c r="J74" s="10">
        <v>45669.4687962963</v>
      </c>
      <c r="K74" s="11">
        <f t="shared" si="10"/>
        <v>8.4490740846376866E-4</v>
      </c>
      <c r="L74" s="11">
        <f t="shared" si="11"/>
        <v>2.2222222221898846E-2</v>
      </c>
      <c r="M74" s="11">
        <f t="shared" si="12"/>
        <v>0</v>
      </c>
      <c r="N74" s="11">
        <f t="shared" si="13"/>
        <v>8.9120370830642059E-4</v>
      </c>
      <c r="O74" s="11">
        <f t="shared" si="14"/>
        <v>2.3958333338669036E-2</v>
      </c>
    </row>
    <row r="75" spans="1:15" x14ac:dyDescent="0.45">
      <c r="A75" s="3" t="s">
        <v>778</v>
      </c>
      <c r="B75" s="3" t="s">
        <v>263</v>
      </c>
      <c r="C75" s="9">
        <v>144</v>
      </c>
      <c r="D75" s="3" t="s">
        <v>815</v>
      </c>
      <c r="E75" s="10">
        <v>45669.482523148137</v>
      </c>
      <c r="F75" s="10">
        <v>45669.483391203707</v>
      </c>
      <c r="G75" s="10">
        <v>45669.508391203701</v>
      </c>
      <c r="H75" s="10">
        <v>45669.508391203701</v>
      </c>
      <c r="I75" s="10">
        <v>45669.508391203701</v>
      </c>
      <c r="J75" s="10">
        <v>45669.509317129632</v>
      </c>
      <c r="K75" s="11">
        <f t="shared" si="10"/>
        <v>8.6805556929903105E-4</v>
      </c>
      <c r="L75" s="11">
        <f t="shared" si="11"/>
        <v>2.4999999994179234E-2</v>
      </c>
      <c r="M75" s="11">
        <f t="shared" si="12"/>
        <v>0</v>
      </c>
      <c r="N75" s="11">
        <f t="shared" si="13"/>
        <v>9.2592593136942014E-4</v>
      </c>
      <c r="O75" s="11">
        <f t="shared" si="14"/>
        <v>2.6793981494847685E-2</v>
      </c>
    </row>
    <row r="76" spans="1:15" x14ac:dyDescent="0.45">
      <c r="A76" s="3" t="s">
        <v>747</v>
      </c>
      <c r="B76" s="3" t="s">
        <v>237</v>
      </c>
      <c r="C76" s="9">
        <v>144</v>
      </c>
      <c r="D76" s="3" t="s">
        <v>814</v>
      </c>
      <c r="E76" s="10">
        <v>45669.513761574082</v>
      </c>
      <c r="F76" s="10">
        <v>45669.51462962963</v>
      </c>
      <c r="G76" s="10">
        <v>45669.539629629631</v>
      </c>
      <c r="H76" s="10">
        <v>45669.539629629631</v>
      </c>
      <c r="I76" s="10">
        <v>45669.539629629631</v>
      </c>
      <c r="J76" s="10">
        <v>45669.540358796286</v>
      </c>
      <c r="K76" s="11">
        <f t="shared" si="10"/>
        <v>8.6805554747115821E-4</v>
      </c>
      <c r="L76" s="11">
        <f t="shared" si="11"/>
        <v>2.5000000001455192E-2</v>
      </c>
      <c r="M76" s="11">
        <f t="shared" si="12"/>
        <v>0</v>
      </c>
      <c r="N76" s="11">
        <f t="shared" si="13"/>
        <v>7.2916665521916002E-4</v>
      </c>
      <c r="O76" s="11">
        <f t="shared" si="14"/>
        <v>2.659722220414551E-2</v>
      </c>
    </row>
    <row r="77" spans="1:15" x14ac:dyDescent="0.45">
      <c r="A77" s="3" t="s">
        <v>787</v>
      </c>
      <c r="B77" s="3" t="s">
        <v>237</v>
      </c>
      <c r="C77" s="9">
        <v>112</v>
      </c>
      <c r="D77" s="3" t="s">
        <v>818</v>
      </c>
      <c r="E77" s="10">
        <v>45669.685972222222</v>
      </c>
      <c r="F77" s="10">
        <v>45669.686840277784</v>
      </c>
      <c r="G77" s="10">
        <v>45669.706284722219</v>
      </c>
      <c r="H77" s="10">
        <v>45669.706284722219</v>
      </c>
      <c r="I77" s="10">
        <v>45669.706284722219</v>
      </c>
      <c r="J77" s="10">
        <v>45669.707083333327</v>
      </c>
      <c r="K77" s="11">
        <f t="shared" si="10"/>
        <v>8.6805556202307343E-4</v>
      </c>
      <c r="L77" s="11">
        <f t="shared" si="11"/>
        <v>1.9444444435066544E-2</v>
      </c>
      <c r="M77" s="11">
        <f t="shared" si="12"/>
        <v>0</v>
      </c>
      <c r="N77" s="11">
        <f t="shared" si="13"/>
        <v>7.9861110862111673E-4</v>
      </c>
      <c r="O77" s="11">
        <f t="shared" si="14"/>
        <v>2.1111111105710734E-2</v>
      </c>
    </row>
    <row r="78" spans="1:15" x14ac:dyDescent="0.45">
      <c r="A78" s="3" t="s">
        <v>755</v>
      </c>
      <c r="B78" s="3" t="s">
        <v>283</v>
      </c>
      <c r="C78" s="9">
        <v>192</v>
      </c>
      <c r="D78" s="3" t="s">
        <v>817</v>
      </c>
      <c r="E78" s="10">
        <v>45669.813726851848</v>
      </c>
      <c r="F78" s="10">
        <v>45669.81459490741</v>
      </c>
      <c r="G78" s="10">
        <v>45669.847928240742</v>
      </c>
      <c r="H78" s="10">
        <v>45669.847928240742</v>
      </c>
      <c r="I78" s="10">
        <v>45669.847928240742</v>
      </c>
      <c r="J78" s="10">
        <v>45669.848877314813</v>
      </c>
      <c r="K78" s="11">
        <f t="shared" si="10"/>
        <v>8.6805556202307343E-4</v>
      </c>
      <c r="L78" s="11">
        <f t="shared" si="11"/>
        <v>3.3333333332848269E-2</v>
      </c>
      <c r="M78" s="11">
        <f t="shared" si="12"/>
        <v>0</v>
      </c>
      <c r="N78" s="11">
        <f t="shared" si="13"/>
        <v>9.4907407037680969E-4</v>
      </c>
      <c r="O78" s="11">
        <f t="shared" si="14"/>
        <v>3.5150462965248153E-2</v>
      </c>
    </row>
    <row r="79" spans="1:15" x14ac:dyDescent="0.45">
      <c r="A79" s="3" t="s">
        <v>792</v>
      </c>
      <c r="B79" s="3" t="s">
        <v>354</v>
      </c>
      <c r="C79" s="9">
        <v>304</v>
      </c>
      <c r="D79" s="3" t="s">
        <v>814</v>
      </c>
      <c r="E79" s="10">
        <v>45669.941388888888</v>
      </c>
      <c r="F79" s="10">
        <v>45669.942233796297</v>
      </c>
      <c r="G79" s="10">
        <v>45669.995011574072</v>
      </c>
      <c r="H79" s="10">
        <v>45669.995011574072</v>
      </c>
      <c r="I79" s="10">
        <v>45669.995011574072</v>
      </c>
      <c r="J79" s="10">
        <v>45669.996111111112</v>
      </c>
      <c r="K79" s="11">
        <f t="shared" si="10"/>
        <v>8.4490740846376866E-4</v>
      </c>
      <c r="L79" s="11">
        <f t="shared" si="11"/>
        <v>5.2777777775190771E-2</v>
      </c>
      <c r="M79" s="11">
        <f t="shared" si="12"/>
        <v>0</v>
      </c>
      <c r="N79" s="11">
        <f t="shared" si="13"/>
        <v>1.0995370394084603E-3</v>
      </c>
      <c r="O79" s="11">
        <f t="shared" si="14"/>
        <v>5.4722222223063E-2</v>
      </c>
    </row>
  </sheetData>
  <autoFilter ref="A1:O79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42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4" width="8.19921875" customWidth="1"/>
  </cols>
  <sheetData>
    <row r="1" spans="1:14" ht="45" customHeight="1" x14ac:dyDescent="0.45">
      <c r="A1" s="1" t="s">
        <v>823</v>
      </c>
      <c r="B1" s="1" t="s">
        <v>824</v>
      </c>
      <c r="C1" s="1" t="s">
        <v>825</v>
      </c>
      <c r="D1" s="1" t="s">
        <v>826</v>
      </c>
      <c r="E1" s="1" t="s">
        <v>827</v>
      </c>
      <c r="F1" s="1" t="s">
        <v>828</v>
      </c>
      <c r="G1" s="1" t="s">
        <v>829</v>
      </c>
      <c r="H1" s="1" t="s">
        <v>830</v>
      </c>
      <c r="I1" s="1" t="s">
        <v>831</v>
      </c>
      <c r="J1" s="1" t="s">
        <v>832</v>
      </c>
      <c r="K1" s="1" t="s">
        <v>833</v>
      </c>
      <c r="L1" s="1" t="s">
        <v>834</v>
      </c>
      <c r="M1" s="1" t="s">
        <v>835</v>
      </c>
      <c r="N1" s="1" t="s">
        <v>836</v>
      </c>
    </row>
    <row r="2" spans="1:14" x14ac:dyDescent="0.45">
      <c r="A2" s="3" t="s">
        <v>837</v>
      </c>
      <c r="B2" s="3" t="s">
        <v>838</v>
      </c>
      <c r="C2" s="3" t="s">
        <v>139</v>
      </c>
      <c r="D2" s="13">
        <v>56</v>
      </c>
      <c r="E2" s="14">
        <v>766.25</v>
      </c>
      <c r="F2" s="14">
        <v>766.25</v>
      </c>
      <c r="G2" s="14">
        <v>766.25</v>
      </c>
      <c r="H2" s="11">
        <v>1.960772156084656E-3</v>
      </c>
      <c r="I2" s="11">
        <v>1.770833333333333E-3</v>
      </c>
      <c r="J2" s="11">
        <v>2.2916666666666671E-3</v>
      </c>
      <c r="K2" s="9">
        <v>16.340139455677669</v>
      </c>
      <c r="L2" s="9">
        <v>13.93181818181818</v>
      </c>
      <c r="M2" s="9">
        <v>18.02941176470588</v>
      </c>
      <c r="N2" s="9">
        <v>0.95397970915635377</v>
      </c>
    </row>
    <row r="3" spans="1:14" x14ac:dyDescent="0.45">
      <c r="A3" s="3" t="s">
        <v>837</v>
      </c>
      <c r="B3" s="3" t="s">
        <v>838</v>
      </c>
      <c r="C3" s="3" t="s">
        <v>173</v>
      </c>
      <c r="D3" s="13">
        <v>1</v>
      </c>
      <c r="E3" s="14">
        <v>435.33</v>
      </c>
      <c r="F3" s="14">
        <v>435.33</v>
      </c>
      <c r="G3" s="14">
        <v>435.33</v>
      </c>
      <c r="H3" s="11">
        <v>1.1226851851851849E-3</v>
      </c>
      <c r="I3" s="11">
        <v>1.1226851851851849E-3</v>
      </c>
      <c r="J3" s="11">
        <v>1.1226851851851849E-3</v>
      </c>
      <c r="K3" s="9">
        <v>16.15657731958763</v>
      </c>
      <c r="L3" s="9">
        <v>16.15657731958763</v>
      </c>
      <c r="M3" s="9">
        <v>16.15657731958763</v>
      </c>
      <c r="N3" s="9">
        <v>0</v>
      </c>
    </row>
    <row r="4" spans="1:14" x14ac:dyDescent="0.45">
      <c r="A4" s="3" t="s">
        <v>837</v>
      </c>
      <c r="B4" s="3" t="s">
        <v>838</v>
      </c>
      <c r="C4" s="3" t="s">
        <v>171</v>
      </c>
      <c r="D4" s="13">
        <v>1</v>
      </c>
      <c r="E4" s="14">
        <v>476.05</v>
      </c>
      <c r="F4" s="14">
        <v>476.05</v>
      </c>
      <c r="G4" s="14">
        <v>476.05</v>
      </c>
      <c r="H4" s="11">
        <v>1.3194444444444441E-3</v>
      </c>
      <c r="I4" s="11">
        <v>1.3194444444444441E-3</v>
      </c>
      <c r="J4" s="11">
        <v>1.3194444444444441E-3</v>
      </c>
      <c r="K4" s="9">
        <v>15.03315789473684</v>
      </c>
      <c r="L4" s="9">
        <v>15.03315789473684</v>
      </c>
      <c r="M4" s="9">
        <v>15.03315789473684</v>
      </c>
      <c r="N4" s="9">
        <v>0</v>
      </c>
    </row>
    <row r="5" spans="1:14" x14ac:dyDescent="0.45">
      <c r="A5" s="3" t="s">
        <v>837</v>
      </c>
      <c r="B5" s="3" t="s">
        <v>838</v>
      </c>
      <c r="C5" s="3" t="s">
        <v>141</v>
      </c>
      <c r="D5" s="13">
        <v>17</v>
      </c>
      <c r="E5" s="14">
        <v>556.20000000000005</v>
      </c>
      <c r="F5" s="14">
        <v>556.20000000000005</v>
      </c>
      <c r="G5" s="14">
        <v>556.20000000000005</v>
      </c>
      <c r="H5" s="11">
        <v>1.5625000000000001E-3</v>
      </c>
      <c r="I5" s="11">
        <v>1.3773148148148149E-3</v>
      </c>
      <c r="J5" s="11">
        <v>1.782407407407407E-3</v>
      </c>
      <c r="K5" s="9">
        <v>14.89685466869469</v>
      </c>
      <c r="L5" s="9">
        <v>13.00207792207792</v>
      </c>
      <c r="M5" s="9">
        <v>16.826218487394961</v>
      </c>
      <c r="N5" s="9">
        <v>0.98648298458641182</v>
      </c>
    </row>
    <row r="6" spans="1:14" x14ac:dyDescent="0.45">
      <c r="A6" s="3" t="s">
        <v>837</v>
      </c>
      <c r="B6" s="3" t="s">
        <v>838</v>
      </c>
      <c r="C6" s="3" t="s">
        <v>154</v>
      </c>
      <c r="D6" s="13">
        <v>2</v>
      </c>
      <c r="E6" s="14">
        <v>587.14</v>
      </c>
      <c r="F6" s="14">
        <v>587.14</v>
      </c>
      <c r="G6" s="14">
        <v>587.14</v>
      </c>
      <c r="H6" s="11">
        <v>1.3657407407407409E-3</v>
      </c>
      <c r="I6" s="11">
        <v>1.3657407407407409E-3</v>
      </c>
      <c r="J6" s="11">
        <v>1.3657407407407409E-3</v>
      </c>
      <c r="K6" s="9">
        <v>17.912745762711861</v>
      </c>
      <c r="L6" s="9">
        <v>17.912745762711861</v>
      </c>
      <c r="M6" s="9">
        <v>17.912745762711861</v>
      </c>
      <c r="N6" s="9">
        <v>0</v>
      </c>
    </row>
    <row r="7" spans="1:14" x14ac:dyDescent="0.45">
      <c r="A7" s="3" t="s">
        <v>839</v>
      </c>
      <c r="B7" s="3" t="s">
        <v>815</v>
      </c>
      <c r="C7" s="3" t="s">
        <v>840</v>
      </c>
      <c r="D7" s="13">
        <v>9</v>
      </c>
      <c r="E7" s="14">
        <v>286.14</v>
      </c>
      <c r="F7" s="14">
        <v>286.14</v>
      </c>
      <c r="G7" s="14">
        <v>286.14</v>
      </c>
      <c r="H7" s="11">
        <v>9.9665637860082306E-4</v>
      </c>
      <c r="I7" s="11">
        <v>8.9120370370370373E-4</v>
      </c>
      <c r="J7" s="11">
        <v>1.1458333333333329E-3</v>
      </c>
      <c r="K7" s="9">
        <v>12.03914276547783</v>
      </c>
      <c r="L7" s="9">
        <v>10.405090909090911</v>
      </c>
      <c r="M7" s="9">
        <v>13.377974025974019</v>
      </c>
      <c r="N7" s="9">
        <v>0.9409806380380128</v>
      </c>
    </row>
    <row r="8" spans="1:14" x14ac:dyDescent="0.45">
      <c r="A8" s="3" t="s">
        <v>839</v>
      </c>
      <c r="B8" s="3" t="s">
        <v>820</v>
      </c>
      <c r="C8" s="3" t="s">
        <v>840</v>
      </c>
      <c r="D8" s="13">
        <v>4</v>
      </c>
      <c r="E8" s="14">
        <v>245</v>
      </c>
      <c r="F8" s="14">
        <v>245</v>
      </c>
      <c r="G8" s="14">
        <v>245</v>
      </c>
      <c r="H8" s="11">
        <v>9.2592592592592596E-4</v>
      </c>
      <c r="I8" s="11">
        <v>8.1018518518518516E-4</v>
      </c>
      <c r="J8" s="11">
        <v>1.0995370370370371E-3</v>
      </c>
      <c r="K8" s="9">
        <v>11.16350766155896</v>
      </c>
      <c r="L8" s="9">
        <v>9.284210526315789</v>
      </c>
      <c r="M8" s="9">
        <v>12.6</v>
      </c>
      <c r="N8" s="9">
        <v>1.2031642635678781</v>
      </c>
    </row>
    <row r="9" spans="1:14" x14ac:dyDescent="0.45">
      <c r="A9" s="3" t="s">
        <v>839</v>
      </c>
      <c r="B9" s="3" t="s">
        <v>821</v>
      </c>
      <c r="C9" s="3" t="s">
        <v>840</v>
      </c>
      <c r="D9" s="13">
        <v>5</v>
      </c>
      <c r="E9" s="14">
        <v>286.14</v>
      </c>
      <c r="F9" s="14">
        <v>286.14</v>
      </c>
      <c r="G9" s="14">
        <v>286.14</v>
      </c>
      <c r="H9" s="11">
        <v>9.2592592592592596E-4</v>
      </c>
      <c r="I9" s="11">
        <v>8.4490740740740739E-4</v>
      </c>
      <c r="J9" s="11">
        <v>1.006944444444444E-3</v>
      </c>
      <c r="K9" s="9">
        <v>12.937038220203849</v>
      </c>
      <c r="L9" s="9">
        <v>11.840275862068969</v>
      </c>
      <c r="M9" s="9">
        <v>14.11101369863014</v>
      </c>
      <c r="N9" s="9">
        <v>0.88202022500858812</v>
      </c>
    </row>
    <row r="10" spans="1:14" x14ac:dyDescent="0.45">
      <c r="A10" s="3" t="s">
        <v>839</v>
      </c>
      <c r="B10" s="3" t="s">
        <v>822</v>
      </c>
      <c r="C10" s="3" t="s">
        <v>840</v>
      </c>
      <c r="D10" s="13">
        <v>2</v>
      </c>
      <c r="E10" s="14">
        <v>259.16000000000003</v>
      </c>
      <c r="F10" s="14">
        <v>259.16000000000003</v>
      </c>
      <c r="G10" s="14">
        <v>259.16000000000003</v>
      </c>
      <c r="H10" s="11">
        <v>8.3912037037037039E-4</v>
      </c>
      <c r="I10" s="11">
        <v>8.3333333333333339E-4</v>
      </c>
      <c r="J10" s="11">
        <v>8.4490740740740739E-4</v>
      </c>
      <c r="K10" s="9">
        <v>12.869246575342469</v>
      </c>
      <c r="L10" s="9">
        <v>12.780493150684929</v>
      </c>
      <c r="M10" s="9">
        <v>12.958</v>
      </c>
      <c r="N10" s="9">
        <v>8.8753424657534552E-2</v>
      </c>
    </row>
    <row r="11" spans="1:14" x14ac:dyDescent="0.45">
      <c r="A11" s="3" t="s">
        <v>839</v>
      </c>
      <c r="B11" s="3" t="s">
        <v>816</v>
      </c>
      <c r="C11" s="3" t="s">
        <v>840</v>
      </c>
      <c r="D11" s="13">
        <v>10</v>
      </c>
      <c r="E11" s="14">
        <v>205.9</v>
      </c>
      <c r="F11" s="14">
        <v>205.9</v>
      </c>
      <c r="G11" s="14">
        <v>205.9</v>
      </c>
      <c r="H11" s="11">
        <v>7.7893518518518513E-4</v>
      </c>
      <c r="I11" s="11">
        <v>6.8287037037037036E-4</v>
      </c>
      <c r="J11" s="11">
        <v>9.9537037037037042E-4</v>
      </c>
      <c r="K11" s="9">
        <v>11.16770449427867</v>
      </c>
      <c r="L11" s="9">
        <v>8.6190697674418608</v>
      </c>
      <c r="M11" s="9">
        <v>12.563389830508481</v>
      </c>
      <c r="N11" s="9">
        <v>1.2388240049966199</v>
      </c>
    </row>
    <row r="12" spans="1:14" x14ac:dyDescent="0.45">
      <c r="A12" s="3" t="s">
        <v>839</v>
      </c>
      <c r="B12" s="3" t="s">
        <v>813</v>
      </c>
      <c r="C12" s="3" t="s">
        <v>840</v>
      </c>
      <c r="D12" s="13">
        <v>18</v>
      </c>
      <c r="E12" s="14">
        <v>223.61</v>
      </c>
      <c r="F12" s="14">
        <v>223.61</v>
      </c>
      <c r="G12" s="14">
        <v>223.61</v>
      </c>
      <c r="H12" s="11">
        <v>8.140432098765432E-4</v>
      </c>
      <c r="I12" s="11">
        <v>7.1759259259259259E-4</v>
      </c>
      <c r="J12" s="11">
        <v>1.0532407407407411E-3</v>
      </c>
      <c r="K12" s="9">
        <v>11.552337108713219</v>
      </c>
      <c r="L12" s="9">
        <v>8.84610989010989</v>
      </c>
      <c r="M12" s="9">
        <v>12.983806451612899</v>
      </c>
      <c r="N12" s="9">
        <v>1.059006082715926</v>
      </c>
    </row>
    <row r="13" spans="1:14" x14ac:dyDescent="0.45">
      <c r="A13" s="3" t="s">
        <v>839</v>
      </c>
      <c r="B13" s="3" t="s">
        <v>818</v>
      </c>
      <c r="C13" s="3" t="s">
        <v>840</v>
      </c>
      <c r="D13" s="13">
        <v>7</v>
      </c>
      <c r="E13" s="14">
        <v>262.93</v>
      </c>
      <c r="F13" s="14">
        <v>262.93</v>
      </c>
      <c r="G13" s="14">
        <v>262.93</v>
      </c>
      <c r="H13" s="11">
        <v>8.7797619047619052E-4</v>
      </c>
      <c r="I13" s="11">
        <v>7.9861111111111116E-4</v>
      </c>
      <c r="J13" s="11">
        <v>9.4907407407407408E-4</v>
      </c>
      <c r="K13" s="9">
        <v>12.51044618619694</v>
      </c>
      <c r="L13" s="9">
        <v>11.54326829268293</v>
      </c>
      <c r="M13" s="9">
        <v>13.71808695652174</v>
      </c>
      <c r="N13" s="9">
        <v>0.64262336162831313</v>
      </c>
    </row>
    <row r="14" spans="1:14" x14ac:dyDescent="0.45">
      <c r="A14" s="3" t="s">
        <v>839</v>
      </c>
      <c r="B14" s="3" t="s">
        <v>819</v>
      </c>
      <c r="C14" s="3" t="s">
        <v>840</v>
      </c>
      <c r="D14" s="13">
        <v>7</v>
      </c>
      <c r="E14" s="14">
        <v>259.31</v>
      </c>
      <c r="F14" s="14">
        <v>259.31</v>
      </c>
      <c r="G14" s="14">
        <v>259.31</v>
      </c>
      <c r="H14" s="11">
        <v>8.9285714285714283E-4</v>
      </c>
      <c r="I14" s="11">
        <v>8.3333333333333339E-4</v>
      </c>
      <c r="J14" s="11">
        <v>9.3749999999999997E-4</v>
      </c>
      <c r="K14" s="9">
        <v>12.11740635055669</v>
      </c>
      <c r="L14" s="9">
        <v>11.52488888888889</v>
      </c>
      <c r="M14" s="9">
        <v>12.9655</v>
      </c>
      <c r="N14" s="9">
        <v>0.44873217793786879</v>
      </c>
    </row>
    <row r="15" spans="1:14" x14ac:dyDescent="0.45">
      <c r="A15" s="3" t="s">
        <v>839</v>
      </c>
      <c r="B15" s="3" t="s">
        <v>817</v>
      </c>
      <c r="C15" s="3" t="s">
        <v>840</v>
      </c>
      <c r="D15" s="13">
        <v>10</v>
      </c>
      <c r="E15" s="14">
        <v>240.31</v>
      </c>
      <c r="F15" s="14">
        <v>240.31</v>
      </c>
      <c r="G15" s="14">
        <v>240.31</v>
      </c>
      <c r="H15" s="11">
        <v>8.7499999999999991E-4</v>
      </c>
      <c r="I15" s="11">
        <v>7.6388888888888893E-4</v>
      </c>
      <c r="J15" s="11">
        <v>9.837962962962962E-4</v>
      </c>
      <c r="K15" s="9">
        <v>11.526332915426581</v>
      </c>
      <c r="L15" s="9">
        <v>10.177835294117649</v>
      </c>
      <c r="M15" s="9">
        <v>13.10781818181818</v>
      </c>
      <c r="N15" s="9">
        <v>0.98831280180225578</v>
      </c>
    </row>
    <row r="16" spans="1:14" x14ac:dyDescent="0.45">
      <c r="A16" s="3" t="s">
        <v>839</v>
      </c>
      <c r="B16" s="3" t="s">
        <v>814</v>
      </c>
      <c r="C16" s="3" t="s">
        <v>840</v>
      </c>
      <c r="D16" s="13">
        <v>6</v>
      </c>
      <c r="E16" s="14">
        <v>188.33</v>
      </c>
      <c r="F16" s="14">
        <v>188.33</v>
      </c>
      <c r="G16" s="14">
        <v>188.33</v>
      </c>
      <c r="H16" s="11">
        <v>7.6195987654320986E-4</v>
      </c>
      <c r="I16" s="11">
        <v>6.5972222222222224E-4</v>
      </c>
      <c r="J16" s="11">
        <v>1.0995370370370371E-3</v>
      </c>
      <c r="K16" s="9">
        <v>10.6248328320802</v>
      </c>
      <c r="L16" s="9">
        <v>7.1367157894736852</v>
      </c>
      <c r="M16" s="9">
        <v>11.89452631578947</v>
      </c>
      <c r="N16" s="9">
        <v>1.627075972951542</v>
      </c>
    </row>
    <row r="17" spans="1:14" x14ac:dyDescent="0.45">
      <c r="A17" s="3" t="s">
        <v>841</v>
      </c>
      <c r="B17" s="3" t="s">
        <v>139</v>
      </c>
      <c r="C17" s="3" t="s">
        <v>815</v>
      </c>
      <c r="D17" s="13">
        <v>17</v>
      </c>
      <c r="E17" s="14">
        <v>405.43</v>
      </c>
      <c r="F17" s="14">
        <v>405.43</v>
      </c>
      <c r="G17" s="14">
        <v>405.43</v>
      </c>
      <c r="H17" s="11">
        <v>1.296296296296296E-3</v>
      </c>
      <c r="I17" s="11">
        <v>1.19212962962963E-3</v>
      </c>
      <c r="J17" s="11">
        <v>1.5046296296296301E-3</v>
      </c>
      <c r="K17" s="9">
        <v>13.093953110394279</v>
      </c>
      <c r="L17" s="9">
        <v>11.227292307692309</v>
      </c>
      <c r="M17" s="9">
        <v>14.170368932038841</v>
      </c>
      <c r="N17" s="9">
        <v>0.87477554926623857</v>
      </c>
    </row>
    <row r="18" spans="1:14" x14ac:dyDescent="0.45">
      <c r="A18" s="3" t="s">
        <v>841</v>
      </c>
      <c r="B18" s="3" t="s">
        <v>139</v>
      </c>
      <c r="C18" s="3" t="s">
        <v>820</v>
      </c>
      <c r="D18" s="13">
        <v>10</v>
      </c>
      <c r="E18" s="14">
        <v>405.03</v>
      </c>
      <c r="F18" s="14">
        <v>405.03</v>
      </c>
      <c r="G18" s="14">
        <v>405.03</v>
      </c>
      <c r="H18" s="11">
        <v>1.278935185185185E-3</v>
      </c>
      <c r="I18" s="11">
        <v>1.19212962962963E-3</v>
      </c>
      <c r="J18" s="11">
        <v>1.4930555555555561E-3</v>
      </c>
      <c r="K18" s="9">
        <v>13.26084367490984</v>
      </c>
      <c r="L18" s="9">
        <v>11.303162790697669</v>
      </c>
      <c r="M18" s="9">
        <v>14.156388349514559</v>
      </c>
      <c r="N18" s="9">
        <v>0.90410746413921872</v>
      </c>
    </row>
    <row r="19" spans="1:14" x14ac:dyDescent="0.45">
      <c r="A19" s="3" t="s">
        <v>841</v>
      </c>
      <c r="B19" s="3" t="s">
        <v>139</v>
      </c>
      <c r="C19" s="3" t="s">
        <v>821</v>
      </c>
      <c r="D19" s="13">
        <v>7</v>
      </c>
      <c r="E19" s="14">
        <v>378.4</v>
      </c>
      <c r="F19" s="14">
        <v>378.4</v>
      </c>
      <c r="G19" s="14">
        <v>378.4</v>
      </c>
      <c r="H19" s="11">
        <v>1.225198412698413E-3</v>
      </c>
      <c r="I19" s="11">
        <v>1.1342592592592589E-3</v>
      </c>
      <c r="J19" s="11">
        <v>1.3425925925925921E-3</v>
      </c>
      <c r="K19" s="9">
        <v>12.91302049778251</v>
      </c>
      <c r="L19" s="9">
        <v>11.74344827586207</v>
      </c>
      <c r="M19" s="9">
        <v>13.900408163265309</v>
      </c>
      <c r="N19" s="9">
        <v>0.74741420251007873</v>
      </c>
    </row>
    <row r="20" spans="1:14" x14ac:dyDescent="0.45">
      <c r="A20" s="3" t="s">
        <v>841</v>
      </c>
      <c r="B20" s="3" t="s">
        <v>139</v>
      </c>
      <c r="C20" s="3" t="s">
        <v>822</v>
      </c>
      <c r="D20" s="13">
        <v>2</v>
      </c>
      <c r="E20" s="14">
        <v>350.87</v>
      </c>
      <c r="F20" s="14">
        <v>350.87</v>
      </c>
      <c r="G20" s="14">
        <v>350.87</v>
      </c>
      <c r="H20" s="11">
        <v>1.1168981481481479E-3</v>
      </c>
      <c r="I20" s="11">
        <v>1.0763888888888891E-3</v>
      </c>
      <c r="J20" s="11">
        <v>1.1574074074074069E-3</v>
      </c>
      <c r="K20" s="9">
        <v>13.10669225806452</v>
      </c>
      <c r="L20" s="9">
        <v>12.631320000000001</v>
      </c>
      <c r="M20" s="9">
        <v>13.58206451612903</v>
      </c>
      <c r="N20" s="9">
        <v>0.47537225806451661</v>
      </c>
    </row>
    <row r="21" spans="1:14" x14ac:dyDescent="0.45">
      <c r="A21" s="3" t="s">
        <v>841</v>
      </c>
      <c r="B21" s="3" t="s">
        <v>139</v>
      </c>
      <c r="C21" s="3" t="s">
        <v>816</v>
      </c>
      <c r="D21" s="13">
        <v>18</v>
      </c>
      <c r="E21" s="14">
        <v>297.43</v>
      </c>
      <c r="F21" s="14">
        <v>297.43</v>
      </c>
      <c r="G21" s="14">
        <v>297.43</v>
      </c>
      <c r="H21" s="11">
        <v>9.5357510288065844E-4</v>
      </c>
      <c r="I21" s="11">
        <v>8.9120370370370373E-4</v>
      </c>
      <c r="J21" s="11">
        <v>1.238425925925926E-3</v>
      </c>
      <c r="K21" s="9">
        <v>13.08459645992054</v>
      </c>
      <c r="L21" s="9">
        <v>10.006990654205611</v>
      </c>
      <c r="M21" s="9">
        <v>13.90581818181818</v>
      </c>
      <c r="N21" s="9">
        <v>0.98397953641454872</v>
      </c>
    </row>
    <row r="22" spans="1:14" x14ac:dyDescent="0.45">
      <c r="A22" s="3" t="s">
        <v>841</v>
      </c>
      <c r="B22" s="3" t="s">
        <v>139</v>
      </c>
      <c r="C22" s="3" t="s">
        <v>813</v>
      </c>
      <c r="D22" s="13">
        <v>25</v>
      </c>
      <c r="E22" s="14">
        <v>269.92</v>
      </c>
      <c r="F22" s="14">
        <v>269.92</v>
      </c>
      <c r="G22" s="14">
        <v>269.92</v>
      </c>
      <c r="H22" s="11">
        <v>9.3425925925925924E-4</v>
      </c>
      <c r="I22" s="11">
        <v>8.2175925925925927E-4</v>
      </c>
      <c r="J22" s="11">
        <v>1.3425925925925921E-3</v>
      </c>
      <c r="K22" s="9">
        <v>12.19840256378572</v>
      </c>
      <c r="L22" s="9">
        <v>8.3768275862068968</v>
      </c>
      <c r="M22" s="9">
        <v>13.686084507042249</v>
      </c>
      <c r="N22" s="9">
        <v>1.300066934126086</v>
      </c>
    </row>
    <row r="23" spans="1:14" x14ac:dyDescent="0.45">
      <c r="A23" s="3" t="s">
        <v>841</v>
      </c>
      <c r="B23" s="3" t="s">
        <v>139</v>
      </c>
      <c r="C23" s="3" t="s">
        <v>818</v>
      </c>
      <c r="D23" s="13">
        <v>7</v>
      </c>
      <c r="E23" s="14">
        <v>459.96</v>
      </c>
      <c r="F23" s="14">
        <v>459.96</v>
      </c>
      <c r="G23" s="14">
        <v>459.96</v>
      </c>
      <c r="H23" s="11">
        <v>1.4037698412698409E-3</v>
      </c>
      <c r="I23" s="11">
        <v>1.3541666666666669E-3</v>
      </c>
      <c r="J23" s="11">
        <v>1.5277777777777781E-3</v>
      </c>
      <c r="K23" s="9">
        <v>13.67260547257621</v>
      </c>
      <c r="L23" s="9">
        <v>12.54436363636364</v>
      </c>
      <c r="M23" s="9">
        <v>14.152615384615389</v>
      </c>
      <c r="N23" s="9">
        <v>0.51071040700154058</v>
      </c>
    </row>
    <row r="24" spans="1:14" x14ac:dyDescent="0.45">
      <c r="A24" s="3" t="s">
        <v>841</v>
      </c>
      <c r="B24" s="3" t="s">
        <v>139</v>
      </c>
      <c r="C24" s="3" t="s">
        <v>819</v>
      </c>
      <c r="D24" s="13">
        <v>13</v>
      </c>
      <c r="E24" s="14">
        <v>412.05</v>
      </c>
      <c r="F24" s="14">
        <v>412.05</v>
      </c>
      <c r="G24" s="14">
        <v>412.05</v>
      </c>
      <c r="H24" s="11">
        <v>1.3051994301994301E-3</v>
      </c>
      <c r="I24" s="11">
        <v>1.215277777777778E-3</v>
      </c>
      <c r="J24" s="11">
        <v>1.5162037037037041E-3</v>
      </c>
      <c r="K24" s="9">
        <v>13.23449349237849</v>
      </c>
      <c r="L24" s="9">
        <v>11.32351145038168</v>
      </c>
      <c r="M24" s="9">
        <v>14.12742857142857</v>
      </c>
      <c r="N24" s="9">
        <v>0.99332952239715155</v>
      </c>
    </row>
    <row r="25" spans="1:14" x14ac:dyDescent="0.45">
      <c r="A25" s="3" t="s">
        <v>841</v>
      </c>
      <c r="B25" s="3" t="s">
        <v>139</v>
      </c>
      <c r="C25" s="3" t="s">
        <v>817</v>
      </c>
      <c r="D25" s="13">
        <v>13</v>
      </c>
      <c r="E25" s="14">
        <v>477.75</v>
      </c>
      <c r="F25" s="14">
        <v>477.75</v>
      </c>
      <c r="G25" s="14">
        <v>477.75</v>
      </c>
      <c r="H25" s="11">
        <v>1.5482549857549861E-3</v>
      </c>
      <c r="I25" s="11">
        <v>1.4004629629629629E-3</v>
      </c>
      <c r="J25" s="11">
        <v>1.8171296296296299E-3</v>
      </c>
      <c r="K25" s="9">
        <v>12.92960458679643</v>
      </c>
      <c r="L25" s="9">
        <v>10.95477707006369</v>
      </c>
      <c r="M25" s="9">
        <v>14.214049586776859</v>
      </c>
      <c r="N25" s="9">
        <v>0.95601320137359058</v>
      </c>
    </row>
    <row r="26" spans="1:14" x14ac:dyDescent="0.45">
      <c r="A26" s="3" t="s">
        <v>841</v>
      </c>
      <c r="B26" s="3" t="s">
        <v>139</v>
      </c>
      <c r="C26" s="3" t="s">
        <v>814</v>
      </c>
      <c r="D26" s="13">
        <v>12</v>
      </c>
      <c r="E26" s="14">
        <v>450.42</v>
      </c>
      <c r="F26" s="14">
        <v>450.42</v>
      </c>
      <c r="G26" s="14">
        <v>450.42</v>
      </c>
      <c r="H26" s="11">
        <v>1.420717592592593E-3</v>
      </c>
      <c r="I26" s="11">
        <v>1.3194444444444441E-3</v>
      </c>
      <c r="J26" s="11">
        <v>1.770833333333333E-3</v>
      </c>
      <c r="K26" s="9">
        <v>13.28964298278594</v>
      </c>
      <c r="L26" s="9">
        <v>10.598117647058819</v>
      </c>
      <c r="M26" s="9">
        <v>14.22378947368421</v>
      </c>
      <c r="N26" s="9">
        <v>0.95954755299441685</v>
      </c>
    </row>
    <row r="27" spans="1:14" x14ac:dyDescent="0.45">
      <c r="A27" s="3" t="s">
        <v>841</v>
      </c>
      <c r="B27" s="3" t="s">
        <v>173</v>
      </c>
      <c r="C27" s="3" t="s">
        <v>818</v>
      </c>
      <c r="D27" s="13">
        <v>1</v>
      </c>
      <c r="E27" s="14">
        <v>398.9</v>
      </c>
      <c r="F27" s="14">
        <v>398.9</v>
      </c>
      <c r="G27" s="14">
        <v>398.9</v>
      </c>
      <c r="H27" s="11">
        <v>1.3310185185185181E-3</v>
      </c>
      <c r="I27" s="11">
        <v>1.3310185185185181E-3</v>
      </c>
      <c r="J27" s="11">
        <v>1.3310185185185181E-3</v>
      </c>
      <c r="K27" s="9">
        <v>12.48730434782609</v>
      </c>
      <c r="L27" s="9">
        <v>12.48730434782609</v>
      </c>
      <c r="M27" s="9">
        <v>12.48730434782609</v>
      </c>
      <c r="N27" s="9">
        <v>0</v>
      </c>
    </row>
    <row r="28" spans="1:14" x14ac:dyDescent="0.45">
      <c r="A28" s="3" t="s">
        <v>841</v>
      </c>
      <c r="B28" s="3" t="s">
        <v>171</v>
      </c>
      <c r="C28" s="3" t="s">
        <v>815</v>
      </c>
      <c r="D28" s="13">
        <v>1</v>
      </c>
      <c r="E28" s="14">
        <v>371.24</v>
      </c>
      <c r="F28" s="14">
        <v>371.24</v>
      </c>
      <c r="G28" s="14">
        <v>371.24</v>
      </c>
      <c r="H28" s="11">
        <v>1.3657407407407409E-3</v>
      </c>
      <c r="I28" s="11">
        <v>1.3657407407407409E-3</v>
      </c>
      <c r="J28" s="11">
        <v>1.3657407407407409E-3</v>
      </c>
      <c r="K28" s="9">
        <v>11.32596610169492</v>
      </c>
      <c r="L28" s="9">
        <v>11.32596610169492</v>
      </c>
      <c r="M28" s="9">
        <v>11.32596610169492</v>
      </c>
      <c r="N28" s="9">
        <v>0</v>
      </c>
    </row>
    <row r="29" spans="1:14" x14ac:dyDescent="0.45">
      <c r="A29" s="3" t="s">
        <v>841</v>
      </c>
      <c r="B29" s="3" t="s">
        <v>141</v>
      </c>
      <c r="C29" s="3" t="s">
        <v>815</v>
      </c>
      <c r="D29" s="13">
        <v>2</v>
      </c>
      <c r="E29" s="14">
        <v>398.6</v>
      </c>
      <c r="F29" s="14">
        <v>398.6</v>
      </c>
      <c r="G29" s="14">
        <v>398.6</v>
      </c>
      <c r="H29" s="11">
        <v>1.3888888888888889E-3</v>
      </c>
      <c r="I29" s="11">
        <v>1.3310185185185181E-3</v>
      </c>
      <c r="J29" s="11">
        <v>1.446759259259259E-3</v>
      </c>
      <c r="K29" s="9">
        <v>11.978796521739129</v>
      </c>
      <c r="L29" s="9">
        <v>11.47968</v>
      </c>
      <c r="M29" s="9">
        <v>12.47791304347826</v>
      </c>
      <c r="N29" s="9">
        <v>0.4991165217391309</v>
      </c>
    </row>
    <row r="30" spans="1:14" x14ac:dyDescent="0.45">
      <c r="A30" s="3" t="s">
        <v>841</v>
      </c>
      <c r="B30" s="3" t="s">
        <v>141</v>
      </c>
      <c r="C30" s="3" t="s">
        <v>820</v>
      </c>
      <c r="D30" s="13">
        <v>1</v>
      </c>
      <c r="E30" s="14">
        <v>398.2</v>
      </c>
      <c r="F30" s="14">
        <v>398.2</v>
      </c>
      <c r="G30" s="14">
        <v>398.2</v>
      </c>
      <c r="H30" s="11">
        <v>1.226851851851852E-3</v>
      </c>
      <c r="I30" s="11">
        <v>1.226851851851852E-3</v>
      </c>
      <c r="J30" s="11">
        <v>1.226851851851852E-3</v>
      </c>
      <c r="K30" s="9">
        <v>13.52377358490566</v>
      </c>
      <c r="L30" s="9">
        <v>13.52377358490566</v>
      </c>
      <c r="M30" s="9">
        <v>13.52377358490566</v>
      </c>
      <c r="N30" s="9">
        <v>0</v>
      </c>
    </row>
    <row r="31" spans="1:14" x14ac:dyDescent="0.45">
      <c r="A31" s="3" t="s">
        <v>841</v>
      </c>
      <c r="B31" s="3" t="s">
        <v>141</v>
      </c>
      <c r="C31" s="3" t="s">
        <v>821</v>
      </c>
      <c r="D31" s="13">
        <v>4</v>
      </c>
      <c r="E31" s="14">
        <v>371.57</v>
      </c>
      <c r="F31" s="14">
        <v>371.57</v>
      </c>
      <c r="G31" s="14">
        <v>371.57</v>
      </c>
      <c r="H31" s="11">
        <v>1.1400462962962959E-3</v>
      </c>
      <c r="I31" s="11">
        <v>1.0995370370370371E-3</v>
      </c>
      <c r="J31" s="11">
        <v>1.215277777777778E-3</v>
      </c>
      <c r="K31" s="9">
        <v>13.600868857411379</v>
      </c>
      <c r="L31" s="9">
        <v>12.73954285714286</v>
      </c>
      <c r="M31" s="9">
        <v>14.080547368421049</v>
      </c>
      <c r="N31" s="9">
        <v>0.5208725910121107</v>
      </c>
    </row>
    <row r="32" spans="1:14" x14ac:dyDescent="0.45">
      <c r="A32" s="3" t="s">
        <v>841</v>
      </c>
      <c r="B32" s="3" t="s">
        <v>141</v>
      </c>
      <c r="C32" s="3" t="s">
        <v>822</v>
      </c>
      <c r="D32" s="13">
        <v>2</v>
      </c>
      <c r="E32" s="14">
        <v>344.04</v>
      </c>
      <c r="F32" s="14">
        <v>344.04</v>
      </c>
      <c r="G32" s="14">
        <v>344.04</v>
      </c>
      <c r="H32" s="11">
        <v>1.1053240740740741E-3</v>
      </c>
      <c r="I32" s="11">
        <v>1.0648148148148151E-3</v>
      </c>
      <c r="J32" s="11">
        <v>1.1458333333333329E-3</v>
      </c>
      <c r="K32" s="9">
        <v>12.98649011857707</v>
      </c>
      <c r="L32" s="9">
        <v>12.510545454545451</v>
      </c>
      <c r="M32" s="9">
        <v>13.462434782608691</v>
      </c>
      <c r="N32" s="9">
        <v>0.47594466403162089</v>
      </c>
    </row>
    <row r="33" spans="1:14" x14ac:dyDescent="0.45">
      <c r="A33" s="3" t="s">
        <v>841</v>
      </c>
      <c r="B33" s="3" t="s">
        <v>141</v>
      </c>
      <c r="C33" s="3" t="s">
        <v>816</v>
      </c>
      <c r="D33" s="13">
        <v>6</v>
      </c>
      <c r="E33" s="14">
        <v>290.60000000000002</v>
      </c>
      <c r="F33" s="14">
        <v>290.60000000000002</v>
      </c>
      <c r="G33" s="14">
        <v>290.60000000000002</v>
      </c>
      <c r="H33" s="11">
        <v>1.018518518518518E-3</v>
      </c>
      <c r="I33" s="11">
        <v>8.7962962962962962E-4</v>
      </c>
      <c r="J33" s="11">
        <v>1.284722222222222E-3</v>
      </c>
      <c r="K33" s="9">
        <v>12.07508102919831</v>
      </c>
      <c r="L33" s="9">
        <v>9.4248648648648672</v>
      </c>
      <c r="M33" s="9">
        <v>13.76526315789474</v>
      </c>
      <c r="N33" s="9">
        <v>1.4363239751342241</v>
      </c>
    </row>
    <row r="34" spans="1:14" x14ac:dyDescent="0.45">
      <c r="A34" s="3" t="s">
        <v>841</v>
      </c>
      <c r="B34" s="3" t="s">
        <v>141</v>
      </c>
      <c r="C34" s="3" t="s">
        <v>813</v>
      </c>
      <c r="D34" s="13">
        <v>8</v>
      </c>
      <c r="E34" s="14">
        <v>263.08999999999997</v>
      </c>
      <c r="F34" s="14">
        <v>263.08999999999997</v>
      </c>
      <c r="G34" s="14">
        <v>263.08999999999997</v>
      </c>
      <c r="H34" s="11">
        <v>9.4184027777777777E-4</v>
      </c>
      <c r="I34" s="11">
        <v>8.3333333333333339E-4</v>
      </c>
      <c r="J34" s="11">
        <v>1.0300925925925931E-3</v>
      </c>
      <c r="K34" s="9">
        <v>11.71890580079388</v>
      </c>
      <c r="L34" s="9">
        <v>10.64184269662921</v>
      </c>
      <c r="M34" s="9">
        <v>13.154500000000001</v>
      </c>
      <c r="N34" s="9">
        <v>0.98446144701783111</v>
      </c>
    </row>
    <row r="35" spans="1:14" x14ac:dyDescent="0.45">
      <c r="A35" s="3" t="s">
        <v>841</v>
      </c>
      <c r="B35" s="3" t="s">
        <v>141</v>
      </c>
      <c r="C35" s="3" t="s">
        <v>818</v>
      </c>
      <c r="D35" s="13">
        <v>6</v>
      </c>
      <c r="E35" s="14">
        <v>453.13</v>
      </c>
      <c r="F35" s="14">
        <v>453.13</v>
      </c>
      <c r="G35" s="14">
        <v>453.13</v>
      </c>
      <c r="H35" s="11">
        <v>1.4621913580246909E-3</v>
      </c>
      <c r="I35" s="11">
        <v>1.3657407407407409E-3</v>
      </c>
      <c r="J35" s="11">
        <v>1.631944444444445E-3</v>
      </c>
      <c r="K35" s="9">
        <v>12.952407201265419</v>
      </c>
      <c r="L35" s="9">
        <v>11.569276595744681</v>
      </c>
      <c r="M35" s="9">
        <v>13.82430508474576</v>
      </c>
      <c r="N35" s="9">
        <v>0.70030791194263942</v>
      </c>
    </row>
    <row r="36" spans="1:14" x14ac:dyDescent="0.45">
      <c r="A36" s="3" t="s">
        <v>841</v>
      </c>
      <c r="B36" s="3" t="s">
        <v>141</v>
      </c>
      <c r="C36" s="3" t="s">
        <v>819</v>
      </c>
      <c r="D36" s="13">
        <v>3</v>
      </c>
      <c r="E36" s="14">
        <v>405.22</v>
      </c>
      <c r="F36" s="14">
        <v>405.22</v>
      </c>
      <c r="G36" s="14">
        <v>405.22</v>
      </c>
      <c r="H36" s="11">
        <v>1.28858024691358E-3</v>
      </c>
      <c r="I36" s="11">
        <v>1.203703703703704E-3</v>
      </c>
      <c r="J36" s="11">
        <v>1.3888888888888889E-3</v>
      </c>
      <c r="K36" s="9">
        <v>13.1483972027972</v>
      </c>
      <c r="L36" s="9">
        <v>12.156599999999999</v>
      </c>
      <c r="M36" s="9">
        <v>14.026846153846151</v>
      </c>
      <c r="N36" s="9">
        <v>0.7677200178124276</v>
      </c>
    </row>
    <row r="37" spans="1:14" x14ac:dyDescent="0.45">
      <c r="A37" s="3" t="s">
        <v>841</v>
      </c>
      <c r="B37" s="3" t="s">
        <v>141</v>
      </c>
      <c r="C37" s="3" t="s">
        <v>817</v>
      </c>
      <c r="D37" s="13">
        <v>3</v>
      </c>
      <c r="E37" s="14">
        <v>470.92</v>
      </c>
      <c r="F37" s="14">
        <v>470.92</v>
      </c>
      <c r="G37" s="14">
        <v>470.92</v>
      </c>
      <c r="H37" s="11">
        <v>1.577932098765432E-3</v>
      </c>
      <c r="I37" s="11">
        <v>1.4930555555555561E-3</v>
      </c>
      <c r="J37" s="11">
        <v>1.712962962962963E-3</v>
      </c>
      <c r="K37" s="9">
        <v>12.48001234215188</v>
      </c>
      <c r="L37" s="9">
        <v>11.454810810810811</v>
      </c>
      <c r="M37" s="9">
        <v>13.14195348837209</v>
      </c>
      <c r="N37" s="9">
        <v>0.73511050605142525</v>
      </c>
    </row>
    <row r="38" spans="1:14" x14ac:dyDescent="0.45">
      <c r="A38" s="3" t="s">
        <v>841</v>
      </c>
      <c r="B38" s="3" t="s">
        <v>141</v>
      </c>
      <c r="C38" s="3" t="s">
        <v>814</v>
      </c>
      <c r="D38" s="13">
        <v>1</v>
      </c>
      <c r="E38" s="14">
        <v>443.59</v>
      </c>
      <c r="F38" s="14">
        <v>443.59</v>
      </c>
      <c r="G38" s="14">
        <v>443.59</v>
      </c>
      <c r="H38" s="11">
        <v>1.30787037037037E-3</v>
      </c>
      <c r="I38" s="11">
        <v>1.30787037037037E-3</v>
      </c>
      <c r="J38" s="11">
        <v>1.30787037037037E-3</v>
      </c>
      <c r="K38" s="9">
        <v>14.13207079646018</v>
      </c>
      <c r="L38" s="9">
        <v>14.13207079646018</v>
      </c>
      <c r="M38" s="9">
        <v>14.13207079646018</v>
      </c>
      <c r="N38" s="9">
        <v>0</v>
      </c>
    </row>
    <row r="39" spans="1:14" x14ac:dyDescent="0.45">
      <c r="A39" s="3" t="s">
        <v>841</v>
      </c>
      <c r="B39" s="3" t="s">
        <v>154</v>
      </c>
      <c r="C39" s="3" t="s">
        <v>816</v>
      </c>
      <c r="D39" s="13">
        <v>1</v>
      </c>
      <c r="E39" s="14">
        <v>382.32000000000011</v>
      </c>
      <c r="F39" s="14">
        <v>382.32000000000011</v>
      </c>
      <c r="G39" s="14">
        <v>382.32000000000011</v>
      </c>
      <c r="H39" s="11">
        <v>1.1458333333333329E-3</v>
      </c>
      <c r="I39" s="11">
        <v>1.1458333333333329E-3</v>
      </c>
      <c r="J39" s="11">
        <v>1.1458333333333329E-3</v>
      </c>
      <c r="K39" s="9">
        <v>13.902545454545461</v>
      </c>
      <c r="L39" s="9">
        <v>13.902545454545461</v>
      </c>
      <c r="M39" s="9">
        <v>13.902545454545461</v>
      </c>
      <c r="N39" s="9">
        <v>0</v>
      </c>
    </row>
    <row r="40" spans="1:14" x14ac:dyDescent="0.45">
      <c r="A40" s="3" t="s">
        <v>841</v>
      </c>
      <c r="B40" s="3" t="s">
        <v>154</v>
      </c>
      <c r="C40" s="3" t="s">
        <v>813</v>
      </c>
      <c r="D40" s="13">
        <v>1</v>
      </c>
      <c r="E40" s="14">
        <v>354.81</v>
      </c>
      <c r="F40" s="14">
        <v>354.81</v>
      </c>
      <c r="G40" s="14">
        <v>354.81</v>
      </c>
      <c r="H40" s="11">
        <v>1.0532407407407411E-3</v>
      </c>
      <c r="I40" s="11">
        <v>1.0532407407407411E-3</v>
      </c>
      <c r="J40" s="11">
        <v>1.0532407407407411E-3</v>
      </c>
      <c r="K40" s="9">
        <v>14.036439560439559</v>
      </c>
      <c r="L40" s="9">
        <v>14.036439560439559</v>
      </c>
      <c r="M40" s="9">
        <v>14.036439560439559</v>
      </c>
      <c r="N40" s="9">
        <v>0</v>
      </c>
    </row>
    <row r="41" spans="1:14" x14ac:dyDescent="0.45">
      <c r="A41" s="3" t="s">
        <v>841</v>
      </c>
      <c r="B41" s="3" t="s">
        <v>154</v>
      </c>
      <c r="C41" s="3" t="s">
        <v>817</v>
      </c>
      <c r="D41" s="13">
        <v>1</v>
      </c>
      <c r="E41" s="14">
        <v>562.6400000000001</v>
      </c>
      <c r="F41" s="14">
        <v>562.6400000000001</v>
      </c>
      <c r="G41" s="14">
        <v>562.6400000000001</v>
      </c>
      <c r="H41" s="11">
        <v>1.631944444444445E-3</v>
      </c>
      <c r="I41" s="11">
        <v>1.631944444444445E-3</v>
      </c>
      <c r="J41" s="11">
        <v>1.631944444444445E-3</v>
      </c>
      <c r="K41" s="9">
        <v>14.36527659574468</v>
      </c>
      <c r="L41" s="9">
        <v>14.36527659574468</v>
      </c>
      <c r="M41" s="9">
        <v>14.36527659574468</v>
      </c>
      <c r="N41" s="9">
        <v>0</v>
      </c>
    </row>
    <row r="42" spans="1:14" x14ac:dyDescent="0.45">
      <c r="A42" s="3" t="s">
        <v>841</v>
      </c>
      <c r="B42" s="3" t="s">
        <v>154</v>
      </c>
      <c r="C42" s="3" t="s">
        <v>814</v>
      </c>
      <c r="D42" s="13">
        <v>1</v>
      </c>
      <c r="E42" s="14">
        <v>535.30999999999995</v>
      </c>
      <c r="F42" s="14">
        <v>535.30999999999995</v>
      </c>
      <c r="G42" s="14">
        <v>535.30999999999995</v>
      </c>
      <c r="H42" s="11">
        <v>1.5625000000000001E-3</v>
      </c>
      <c r="I42" s="11">
        <v>1.5625000000000001E-3</v>
      </c>
      <c r="J42" s="11">
        <v>1.5625000000000001E-3</v>
      </c>
      <c r="K42" s="9">
        <v>14.27493333333333</v>
      </c>
      <c r="L42" s="9">
        <v>14.27493333333333</v>
      </c>
      <c r="M42" s="9">
        <v>14.27493333333333</v>
      </c>
      <c r="N42" s="9">
        <v>0</v>
      </c>
    </row>
  </sheetData>
  <autoFilter ref="A1:N42" xr:uid="{00000000-0009-0000-0000-000005000000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25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2" width="8.19921875" customWidth="1"/>
    <col min="3" max="6" width="19" customWidth="1"/>
    <col min="7" max="7" width="8.19921875" customWidth="1"/>
    <col min="8" max="10" width="19" customWidth="1"/>
    <col min="11" max="12" width="8.19921875" customWidth="1"/>
    <col min="16" max="16" width="20" customWidth="1"/>
    <col min="17" max="17" width="12" customWidth="1"/>
  </cols>
  <sheetData>
    <row r="1" spans="1:17" ht="45" customHeight="1" x14ac:dyDescent="0.45">
      <c r="A1" s="1" t="s">
        <v>842</v>
      </c>
      <c r="B1" s="1" t="s">
        <v>843</v>
      </c>
      <c r="C1" s="1" t="s">
        <v>844</v>
      </c>
      <c r="D1" s="1" t="s">
        <v>845</v>
      </c>
      <c r="E1" s="1" t="s">
        <v>846</v>
      </c>
      <c r="F1" s="1" t="s">
        <v>847</v>
      </c>
      <c r="G1" s="1" t="s">
        <v>848</v>
      </c>
      <c r="H1" s="1" t="s">
        <v>849</v>
      </c>
      <c r="I1" s="1" t="s">
        <v>850</v>
      </c>
      <c r="J1" s="1" t="s">
        <v>851</v>
      </c>
      <c r="K1" s="1" t="s">
        <v>852</v>
      </c>
      <c r="L1" s="1" t="s">
        <v>853</v>
      </c>
      <c r="P1" s="5" t="s">
        <v>854</v>
      </c>
    </row>
    <row r="2" spans="1:17" x14ac:dyDescent="0.45">
      <c r="A2" s="3" t="s">
        <v>243</v>
      </c>
      <c r="B2" s="3" t="s">
        <v>140</v>
      </c>
      <c r="C2" s="10">
        <v>45663.208333333343</v>
      </c>
      <c r="D2" s="10">
        <v>45663.209965277783</v>
      </c>
      <c r="E2" s="10">
        <v>45663.218622685177</v>
      </c>
      <c r="F2" s="10">
        <v>45663.219502314823</v>
      </c>
      <c r="G2" s="3" t="s">
        <v>244</v>
      </c>
      <c r="H2" s="10">
        <v>45663.229571759257</v>
      </c>
      <c r="I2" s="10">
        <v>45663.250625000001</v>
      </c>
      <c r="J2" s="10">
        <v>45663.251342592594</v>
      </c>
      <c r="K2" s="11">
        <f t="shared" ref="K2:K65" si="0">IF(AND(ISNUMBER(D2),ISNUMBER(E2)),(E2-D2),"")</f>
        <v>8.6574073939118534E-3</v>
      </c>
      <c r="L2" s="11">
        <f t="shared" ref="L2:L65" si="1">IF(AND(ISNUMBER(F2),ISNUMBER(I2)),(I2-F2),"")</f>
        <v>3.1122685177251697E-2</v>
      </c>
      <c r="P2" s="6" t="s">
        <v>855</v>
      </c>
      <c r="Q2" s="8">
        <f>IFERROR(AVERAGE(K2:K251),0)</f>
        <v>8.4108333329204477E-3</v>
      </c>
    </row>
    <row r="3" spans="1:17" x14ac:dyDescent="0.45">
      <c r="A3" s="3" t="s">
        <v>246</v>
      </c>
      <c r="B3" s="3" t="s">
        <v>140</v>
      </c>
      <c r="C3" s="10">
        <v>45663.208333333343</v>
      </c>
      <c r="D3" s="10">
        <v>45663.209965277783</v>
      </c>
      <c r="E3" s="10">
        <v>45663.219502314823</v>
      </c>
      <c r="F3" s="10">
        <v>45663.220532407409</v>
      </c>
      <c r="G3" s="3" t="s">
        <v>248</v>
      </c>
      <c r="H3" s="10">
        <v>45664.267048611109</v>
      </c>
      <c r="I3" s="10">
        <v>45664.292893518519</v>
      </c>
      <c r="J3" s="10">
        <v>45664.293657407397</v>
      </c>
      <c r="K3" s="11">
        <f t="shared" si="0"/>
        <v>9.5370370399905369E-3</v>
      </c>
      <c r="L3" s="11">
        <f t="shared" si="1"/>
        <v>1.0723611111097853</v>
      </c>
      <c r="P3" s="6" t="s">
        <v>856</v>
      </c>
      <c r="Q3" s="8">
        <f>IFERROR(MEDIAN(K2:K251),0)</f>
        <v>7.7604166617675219E-3</v>
      </c>
    </row>
    <row r="4" spans="1:17" x14ac:dyDescent="0.45">
      <c r="A4" s="3" t="s">
        <v>250</v>
      </c>
      <c r="B4" s="3" t="s">
        <v>140</v>
      </c>
      <c r="C4" s="10">
        <v>45663.208333333343</v>
      </c>
      <c r="D4" s="10">
        <v>45663.209965277783</v>
      </c>
      <c r="E4" s="10">
        <v>45663.219502314823</v>
      </c>
      <c r="F4" s="10">
        <v>45663.220532407409</v>
      </c>
      <c r="G4" s="3" t="s">
        <v>248</v>
      </c>
      <c r="H4" s="10">
        <v>45664.267048611109</v>
      </c>
      <c r="I4" s="10">
        <v>45664.292893518519</v>
      </c>
      <c r="J4" s="10">
        <v>45664.293657407397</v>
      </c>
      <c r="K4" s="11">
        <f t="shared" si="0"/>
        <v>9.5370370399905369E-3</v>
      </c>
      <c r="L4" s="11">
        <f t="shared" si="1"/>
        <v>1.0723611111097853</v>
      </c>
      <c r="P4" s="6" t="s">
        <v>857</v>
      </c>
      <c r="Q4" s="8">
        <f>IFERROR(MIN(K2:K251),0)</f>
        <v>4.3981481358059682E-3</v>
      </c>
    </row>
    <row r="5" spans="1:17" x14ac:dyDescent="0.45">
      <c r="A5" s="3" t="s">
        <v>252</v>
      </c>
      <c r="B5" s="3" t="s">
        <v>140</v>
      </c>
      <c r="C5" s="10">
        <v>45663.208333333343</v>
      </c>
      <c r="D5" s="10">
        <v>45663.209965277783</v>
      </c>
      <c r="E5" s="10">
        <v>45663.220532407409</v>
      </c>
      <c r="F5" s="10">
        <v>45663.221365740741</v>
      </c>
      <c r="G5" s="3" t="s">
        <v>244</v>
      </c>
      <c r="H5" s="10">
        <v>45663.229571759257</v>
      </c>
      <c r="I5" s="10">
        <v>45663.250625000001</v>
      </c>
      <c r="J5" s="10">
        <v>45663.251342592594</v>
      </c>
      <c r="K5" s="11">
        <f t="shared" si="0"/>
        <v>1.056712962599704E-2</v>
      </c>
      <c r="L5" s="11">
        <f t="shared" si="1"/>
        <v>2.9259259259561077E-2</v>
      </c>
      <c r="P5" s="6" t="s">
        <v>858</v>
      </c>
      <c r="Q5" s="8">
        <f>IFERROR(MAX(K2:K251),0)</f>
        <v>1.7604166656383313E-2</v>
      </c>
    </row>
    <row r="6" spans="1:17" x14ac:dyDescent="0.45">
      <c r="A6" s="3" t="s">
        <v>230</v>
      </c>
      <c r="B6" s="3" t="s">
        <v>138</v>
      </c>
      <c r="C6" s="10">
        <v>45663.208333333343</v>
      </c>
      <c r="D6" s="10">
        <v>45663.210439814808</v>
      </c>
      <c r="E6" s="10">
        <v>45663.222245370373</v>
      </c>
      <c r="F6" s="10">
        <v>45663.223761574067</v>
      </c>
      <c r="G6" s="3" t="s">
        <v>232</v>
      </c>
      <c r="H6" s="10">
        <v>45663.237685185188</v>
      </c>
      <c r="I6" s="10">
        <v>45663.257916666669</v>
      </c>
      <c r="J6" s="10">
        <v>45663.258576388893</v>
      </c>
      <c r="K6" s="11">
        <f t="shared" si="0"/>
        <v>1.1805555564933456E-2</v>
      </c>
      <c r="L6" s="11">
        <f t="shared" si="1"/>
        <v>3.4155092602304649E-2</v>
      </c>
      <c r="P6" s="6" t="s">
        <v>859</v>
      </c>
      <c r="Q6" s="8">
        <f>IFERROR(AVERAGE(L2:L251),0)</f>
        <v>0.17120469576710057</v>
      </c>
    </row>
    <row r="7" spans="1:17" x14ac:dyDescent="0.45">
      <c r="A7" s="3" t="s">
        <v>234</v>
      </c>
      <c r="B7" s="3" t="s">
        <v>138</v>
      </c>
      <c r="C7" s="10">
        <v>45663.208333333343</v>
      </c>
      <c r="D7" s="10">
        <v>45663.210439814808</v>
      </c>
      <c r="E7" s="10">
        <v>45663.222245370373</v>
      </c>
      <c r="F7" s="10">
        <v>45663.223761574067</v>
      </c>
      <c r="G7" s="3" t="s">
        <v>232</v>
      </c>
      <c r="H7" s="10">
        <v>45663.237685185188</v>
      </c>
      <c r="I7" s="10">
        <v>45663.257916666669</v>
      </c>
      <c r="J7" s="10">
        <v>45663.258576388893</v>
      </c>
      <c r="K7" s="11">
        <f t="shared" si="0"/>
        <v>1.1805555564933456E-2</v>
      </c>
      <c r="L7" s="11">
        <f t="shared" si="1"/>
        <v>3.4155092602304649E-2</v>
      </c>
      <c r="P7" s="6" t="s">
        <v>860</v>
      </c>
      <c r="Q7" s="8">
        <f>IFERROR(MEDIAN(L2:L251),0)</f>
        <v>5.670138888672227E-2</v>
      </c>
    </row>
    <row r="8" spans="1:17" x14ac:dyDescent="0.45">
      <c r="A8" s="3" t="s">
        <v>236</v>
      </c>
      <c r="B8" s="3" t="s">
        <v>138</v>
      </c>
      <c r="C8" s="10">
        <v>45663.208333333343</v>
      </c>
      <c r="D8" s="10">
        <v>45663.210439814808</v>
      </c>
      <c r="E8" s="10">
        <v>45663.223761574067</v>
      </c>
      <c r="F8" s="10">
        <v>45663.225277777783</v>
      </c>
      <c r="G8" s="3" t="s">
        <v>238</v>
      </c>
      <c r="H8" s="10">
        <v>45664.271087962959</v>
      </c>
      <c r="I8" s="10">
        <v>45664.306157407409</v>
      </c>
      <c r="J8" s="10">
        <v>45664.30709490741</v>
      </c>
      <c r="K8" s="11">
        <f t="shared" si="0"/>
        <v>1.3321759259270038E-2</v>
      </c>
      <c r="L8" s="11">
        <f t="shared" si="1"/>
        <v>1.080879629625997</v>
      </c>
      <c r="P8" s="6" t="s">
        <v>861</v>
      </c>
      <c r="Q8" s="8">
        <f>IFERROR(MIN(L2:L251),0)</f>
        <v>2.8495370366727002E-2</v>
      </c>
    </row>
    <row r="9" spans="1:17" x14ac:dyDescent="0.45">
      <c r="A9" s="3" t="s">
        <v>240</v>
      </c>
      <c r="B9" s="3" t="s">
        <v>138</v>
      </c>
      <c r="C9" s="10">
        <v>45663.208333333343</v>
      </c>
      <c r="D9" s="10">
        <v>45663.210439814808</v>
      </c>
      <c r="E9" s="10">
        <v>45663.225277777783</v>
      </c>
      <c r="F9" s="10">
        <v>45663.226469907408</v>
      </c>
      <c r="G9" s="3" t="s">
        <v>241</v>
      </c>
      <c r="H9" s="10">
        <v>45663.63653935185</v>
      </c>
      <c r="I9" s="10">
        <v>45663.659629629627</v>
      </c>
      <c r="J9" s="10">
        <v>45663.660520833328</v>
      </c>
      <c r="K9" s="11">
        <f t="shared" si="0"/>
        <v>1.4837962975434493E-2</v>
      </c>
      <c r="L9" s="11">
        <f t="shared" si="1"/>
        <v>0.43315972221898846</v>
      </c>
      <c r="P9" s="6" t="s">
        <v>862</v>
      </c>
      <c r="Q9" s="8">
        <f>IFERROR(MAX(L2:L251),0)</f>
        <v>2.1233217592598521</v>
      </c>
    </row>
    <row r="10" spans="1:17" x14ac:dyDescent="0.45">
      <c r="A10" s="3" t="s">
        <v>254</v>
      </c>
      <c r="B10" s="3" t="s">
        <v>142</v>
      </c>
      <c r="C10" s="10">
        <v>45663.3125</v>
      </c>
      <c r="D10" s="10">
        <v>45663.314456018517</v>
      </c>
      <c r="E10" s="10">
        <v>45663.320555555547</v>
      </c>
      <c r="F10" s="10">
        <v>45663.321666666663</v>
      </c>
      <c r="G10" s="3" t="s">
        <v>256</v>
      </c>
      <c r="H10" s="10">
        <v>45663.334340277783</v>
      </c>
      <c r="I10" s="10">
        <v>45663.362962962958</v>
      </c>
      <c r="J10" s="10">
        <v>45663.363796296297</v>
      </c>
      <c r="K10" s="11">
        <f t="shared" si="0"/>
        <v>6.0995370295131579E-3</v>
      </c>
      <c r="L10" s="11">
        <f t="shared" si="1"/>
        <v>4.1296296294603962E-2</v>
      </c>
    </row>
    <row r="11" spans="1:17" x14ac:dyDescent="0.45">
      <c r="A11" s="3" t="s">
        <v>258</v>
      </c>
      <c r="B11" s="3" t="s">
        <v>142</v>
      </c>
      <c r="C11" s="10">
        <v>45663.3125</v>
      </c>
      <c r="D11" s="10">
        <v>45663.314456018517</v>
      </c>
      <c r="E11" s="10">
        <v>45663.320555555547</v>
      </c>
      <c r="F11" s="10">
        <v>45663.321666666663</v>
      </c>
      <c r="G11" s="3" t="s">
        <v>256</v>
      </c>
      <c r="H11" s="10">
        <v>45663.334340277783</v>
      </c>
      <c r="I11" s="10">
        <v>45663.362962962958</v>
      </c>
      <c r="J11" s="10">
        <v>45663.363796296297</v>
      </c>
      <c r="K11" s="11">
        <f t="shared" si="0"/>
        <v>6.0995370295131579E-3</v>
      </c>
      <c r="L11" s="11">
        <f t="shared" si="1"/>
        <v>4.1296296294603962E-2</v>
      </c>
    </row>
    <row r="12" spans="1:17" x14ac:dyDescent="0.45">
      <c r="A12" s="3" t="s">
        <v>260</v>
      </c>
      <c r="B12" s="3" t="s">
        <v>142</v>
      </c>
      <c r="C12" s="10">
        <v>45663.3125</v>
      </c>
      <c r="D12" s="10">
        <v>45663.314456018517</v>
      </c>
      <c r="E12" s="10">
        <v>45663.320555555547</v>
      </c>
      <c r="F12" s="10">
        <v>45663.321666666663</v>
      </c>
      <c r="G12" s="3" t="s">
        <v>256</v>
      </c>
      <c r="H12" s="10">
        <v>45663.334340277783</v>
      </c>
      <c r="I12" s="10">
        <v>45663.362962962958</v>
      </c>
      <c r="J12" s="10">
        <v>45663.363796296297</v>
      </c>
      <c r="K12" s="11">
        <f t="shared" si="0"/>
        <v>6.0995370295131579E-3</v>
      </c>
      <c r="L12" s="11">
        <f t="shared" si="1"/>
        <v>4.1296296294603962E-2</v>
      </c>
    </row>
    <row r="13" spans="1:17" x14ac:dyDescent="0.45">
      <c r="A13" s="3" t="s">
        <v>262</v>
      </c>
      <c r="B13" s="3" t="s">
        <v>143</v>
      </c>
      <c r="C13" s="10">
        <v>45663.46875</v>
      </c>
      <c r="D13" s="10">
        <v>45663.470567129632</v>
      </c>
      <c r="E13" s="10">
        <v>45663.475601851853</v>
      </c>
      <c r="F13" s="10">
        <v>45663.476574074077</v>
      </c>
      <c r="G13" s="3" t="s">
        <v>264</v>
      </c>
      <c r="H13" s="10">
        <v>45663.636770833327</v>
      </c>
      <c r="I13" s="10">
        <v>45663.668194444443</v>
      </c>
      <c r="J13" s="10">
        <v>45663.669074074067</v>
      </c>
      <c r="K13" s="11">
        <f t="shared" si="0"/>
        <v>5.0347222204436548E-3</v>
      </c>
      <c r="L13" s="11">
        <f t="shared" si="1"/>
        <v>0.19162037036585389</v>
      </c>
    </row>
    <row r="14" spans="1:17" x14ac:dyDescent="0.45">
      <c r="A14" s="3" t="s">
        <v>266</v>
      </c>
      <c r="B14" s="3" t="s">
        <v>143</v>
      </c>
      <c r="C14" s="10">
        <v>45663.46875</v>
      </c>
      <c r="D14" s="10">
        <v>45663.470567129632</v>
      </c>
      <c r="E14" s="10">
        <v>45663.475601851853</v>
      </c>
      <c r="F14" s="10">
        <v>45663.476574074077</v>
      </c>
      <c r="G14" s="3" t="s">
        <v>264</v>
      </c>
      <c r="H14" s="10">
        <v>45663.636770833327</v>
      </c>
      <c r="I14" s="10">
        <v>45663.668194444443</v>
      </c>
      <c r="J14" s="10">
        <v>45663.669074074067</v>
      </c>
      <c r="K14" s="11">
        <f t="shared" si="0"/>
        <v>5.0347222204436548E-3</v>
      </c>
      <c r="L14" s="11">
        <f t="shared" si="1"/>
        <v>0.19162037036585389</v>
      </c>
    </row>
    <row r="15" spans="1:17" x14ac:dyDescent="0.45">
      <c r="A15" s="3" t="s">
        <v>268</v>
      </c>
      <c r="B15" s="3" t="s">
        <v>144</v>
      </c>
      <c r="C15" s="10">
        <v>45663.614583333343</v>
      </c>
      <c r="D15" s="10">
        <v>45663.616585648153</v>
      </c>
      <c r="E15" s="10">
        <v>45663.625601851847</v>
      </c>
      <c r="F15" s="10">
        <v>45663.626875000002</v>
      </c>
      <c r="G15" s="3" t="s">
        <v>241</v>
      </c>
      <c r="H15" s="10">
        <v>45663.63653935185</v>
      </c>
      <c r="I15" s="10">
        <v>45663.659629629627</v>
      </c>
      <c r="J15" s="10">
        <v>45663.660520833328</v>
      </c>
      <c r="K15" s="11">
        <f t="shared" si="0"/>
        <v>9.0162036940455437E-3</v>
      </c>
      <c r="L15" s="11">
        <f t="shared" si="1"/>
        <v>3.2754629624832887E-2</v>
      </c>
    </row>
    <row r="16" spans="1:17" x14ac:dyDescent="0.45">
      <c r="A16" s="3" t="s">
        <v>270</v>
      </c>
      <c r="B16" s="3" t="s">
        <v>144</v>
      </c>
      <c r="C16" s="10">
        <v>45663.614583333343</v>
      </c>
      <c r="D16" s="10">
        <v>45663.616585648153</v>
      </c>
      <c r="E16" s="10">
        <v>45663.626875000002</v>
      </c>
      <c r="F16" s="10">
        <v>45663.627812500003</v>
      </c>
      <c r="G16" s="3" t="s">
        <v>264</v>
      </c>
      <c r="H16" s="10">
        <v>45663.636770833327</v>
      </c>
      <c r="I16" s="10">
        <v>45663.668194444443</v>
      </c>
      <c r="J16" s="10">
        <v>45663.669074074067</v>
      </c>
      <c r="K16" s="11">
        <f t="shared" si="0"/>
        <v>1.0289351848769002E-2</v>
      </c>
      <c r="L16" s="11">
        <f t="shared" si="1"/>
        <v>4.0381944440014195E-2</v>
      </c>
    </row>
    <row r="17" spans="1:12" x14ac:dyDescent="0.45">
      <c r="A17" s="3" t="s">
        <v>272</v>
      </c>
      <c r="B17" s="3" t="s">
        <v>144</v>
      </c>
      <c r="C17" s="10">
        <v>45663.614583333343</v>
      </c>
      <c r="D17" s="10">
        <v>45663.616585648153</v>
      </c>
      <c r="E17" s="10">
        <v>45663.626875000002</v>
      </c>
      <c r="F17" s="10">
        <v>45663.627812500003</v>
      </c>
      <c r="G17" s="3" t="s">
        <v>264</v>
      </c>
      <c r="H17" s="10">
        <v>45663.636770833327</v>
      </c>
      <c r="I17" s="10">
        <v>45663.668194444443</v>
      </c>
      <c r="J17" s="10">
        <v>45663.669074074067</v>
      </c>
      <c r="K17" s="11">
        <f t="shared" si="0"/>
        <v>1.0289351848769002E-2</v>
      </c>
      <c r="L17" s="11">
        <f t="shared" si="1"/>
        <v>4.0381944440014195E-2</v>
      </c>
    </row>
    <row r="18" spans="1:12" x14ac:dyDescent="0.45">
      <c r="A18" s="3" t="s">
        <v>274</v>
      </c>
      <c r="B18" s="3" t="s">
        <v>144</v>
      </c>
      <c r="C18" s="10">
        <v>45663.614583333343</v>
      </c>
      <c r="D18" s="10">
        <v>45663.616585648153</v>
      </c>
      <c r="E18" s="10">
        <v>45663.627812500003</v>
      </c>
      <c r="F18" s="10">
        <v>45663.629016203697</v>
      </c>
      <c r="G18" s="3" t="s">
        <v>241</v>
      </c>
      <c r="H18" s="10">
        <v>45663.63653935185</v>
      </c>
      <c r="I18" s="10">
        <v>45663.659629629627</v>
      </c>
      <c r="J18" s="10">
        <v>45663.660520833328</v>
      </c>
      <c r="K18" s="11">
        <f t="shared" si="0"/>
        <v>1.1226851849642117E-2</v>
      </c>
      <c r="L18" s="11">
        <f t="shared" si="1"/>
        <v>3.0613425929914229E-2</v>
      </c>
    </row>
    <row r="19" spans="1:12" x14ac:dyDescent="0.45">
      <c r="A19" s="3" t="s">
        <v>276</v>
      </c>
      <c r="B19" s="3" t="s">
        <v>145</v>
      </c>
      <c r="C19" s="10">
        <v>45664.25</v>
      </c>
      <c r="D19" s="10">
        <v>45664.251956018517</v>
      </c>
      <c r="E19" s="10">
        <v>45664.257916666669</v>
      </c>
      <c r="F19" s="10">
        <v>45664.25885416667</v>
      </c>
      <c r="G19" s="3" t="s">
        <v>248</v>
      </c>
      <c r="H19" s="10">
        <v>45664.267048611109</v>
      </c>
      <c r="I19" s="10">
        <v>45664.292893518519</v>
      </c>
      <c r="J19" s="10">
        <v>45664.293657407397</v>
      </c>
      <c r="K19" s="11">
        <f t="shared" si="0"/>
        <v>5.9606481518130749E-3</v>
      </c>
      <c r="L19" s="11">
        <f t="shared" si="1"/>
        <v>3.403935184906004E-2</v>
      </c>
    </row>
    <row r="20" spans="1:12" x14ac:dyDescent="0.45">
      <c r="A20" s="3" t="s">
        <v>278</v>
      </c>
      <c r="B20" s="3" t="s">
        <v>145</v>
      </c>
      <c r="C20" s="10">
        <v>45664.25</v>
      </c>
      <c r="D20" s="10">
        <v>45664.251956018517</v>
      </c>
      <c r="E20" s="10">
        <v>45664.25885416667</v>
      </c>
      <c r="F20" s="10">
        <v>45664.260439814818</v>
      </c>
      <c r="G20" s="3" t="s">
        <v>238</v>
      </c>
      <c r="H20" s="10">
        <v>45664.271087962959</v>
      </c>
      <c r="I20" s="10">
        <v>45664.306157407409</v>
      </c>
      <c r="J20" s="10">
        <v>45664.30709490741</v>
      </c>
      <c r="K20" s="11">
        <f t="shared" si="0"/>
        <v>6.8981481526861899E-3</v>
      </c>
      <c r="L20" s="11">
        <f t="shared" si="1"/>
        <v>4.5717592591245193E-2</v>
      </c>
    </row>
    <row r="21" spans="1:12" x14ac:dyDescent="0.45">
      <c r="A21" s="3" t="s">
        <v>280</v>
      </c>
      <c r="B21" s="3" t="s">
        <v>145</v>
      </c>
      <c r="C21" s="10">
        <v>45664.25</v>
      </c>
      <c r="D21" s="10">
        <v>45664.251956018517</v>
      </c>
      <c r="E21" s="10">
        <v>45664.25885416667</v>
      </c>
      <c r="F21" s="10">
        <v>45664.260439814818</v>
      </c>
      <c r="G21" s="3" t="s">
        <v>238</v>
      </c>
      <c r="H21" s="10">
        <v>45664.271087962959</v>
      </c>
      <c r="I21" s="10">
        <v>45664.306157407409</v>
      </c>
      <c r="J21" s="10">
        <v>45664.30709490741</v>
      </c>
      <c r="K21" s="11">
        <f t="shared" si="0"/>
        <v>6.8981481526861899E-3</v>
      </c>
      <c r="L21" s="11">
        <f t="shared" si="1"/>
        <v>4.5717592591245193E-2</v>
      </c>
    </row>
    <row r="22" spans="1:12" x14ac:dyDescent="0.45">
      <c r="A22" s="3" t="s">
        <v>282</v>
      </c>
      <c r="B22" s="3" t="s">
        <v>146</v>
      </c>
      <c r="C22" s="10">
        <v>45664.260416666657</v>
      </c>
      <c r="D22" s="10">
        <v>45664.261863425927</v>
      </c>
      <c r="E22" s="10">
        <v>45664.267465277779</v>
      </c>
      <c r="F22" s="10">
        <v>45664.268495370372</v>
      </c>
      <c r="G22" s="3" t="s">
        <v>284</v>
      </c>
      <c r="H22" s="10">
        <v>45664.28125</v>
      </c>
      <c r="I22" s="10">
        <v>45664.33011574074</v>
      </c>
      <c r="J22" s="10">
        <v>45664.330868055556</v>
      </c>
      <c r="K22" s="11">
        <f t="shared" si="0"/>
        <v>5.6018518516793847E-3</v>
      </c>
      <c r="L22" s="11">
        <f t="shared" si="1"/>
        <v>6.1620370368473232E-2</v>
      </c>
    </row>
    <row r="23" spans="1:12" x14ac:dyDescent="0.45">
      <c r="A23" s="3" t="s">
        <v>286</v>
      </c>
      <c r="B23" s="3" t="s">
        <v>146</v>
      </c>
      <c r="C23" s="10">
        <v>45664.260416666657</v>
      </c>
      <c r="D23" s="10">
        <v>45664.261863425927</v>
      </c>
      <c r="E23" s="10">
        <v>45664.267465277779</v>
      </c>
      <c r="F23" s="10">
        <v>45664.268495370372</v>
      </c>
      <c r="G23" s="3" t="s">
        <v>284</v>
      </c>
      <c r="H23" s="10">
        <v>45664.28125</v>
      </c>
      <c r="I23" s="10">
        <v>45664.33011574074</v>
      </c>
      <c r="J23" s="10">
        <v>45664.330868055556</v>
      </c>
      <c r="K23" s="11">
        <f t="shared" si="0"/>
        <v>5.6018518516793847E-3</v>
      </c>
      <c r="L23" s="11">
        <f t="shared" si="1"/>
        <v>6.1620370368473232E-2</v>
      </c>
    </row>
    <row r="24" spans="1:12" x14ac:dyDescent="0.45">
      <c r="A24" s="3" t="s">
        <v>288</v>
      </c>
      <c r="B24" s="3" t="s">
        <v>147</v>
      </c>
      <c r="C24" s="10">
        <v>45664.265277777777</v>
      </c>
      <c r="D24" s="10">
        <v>45664.267384259263</v>
      </c>
      <c r="E24" s="10">
        <v>45664.276423611111</v>
      </c>
      <c r="F24" s="10">
        <v>45664.277731481481</v>
      </c>
      <c r="G24" s="3" t="s">
        <v>289</v>
      </c>
      <c r="H24" s="10">
        <v>45664.298263888893</v>
      </c>
      <c r="I24" s="10">
        <v>45664.340694444443</v>
      </c>
      <c r="J24" s="10">
        <v>45664.341631944437</v>
      </c>
      <c r="K24" s="11">
        <f t="shared" si="0"/>
        <v>9.0393518476048484E-3</v>
      </c>
      <c r="L24" s="11">
        <f t="shared" si="1"/>
        <v>6.2962962962046731E-2</v>
      </c>
    </row>
    <row r="25" spans="1:12" x14ac:dyDescent="0.45">
      <c r="A25" s="3" t="s">
        <v>291</v>
      </c>
      <c r="B25" s="3" t="s">
        <v>147</v>
      </c>
      <c r="C25" s="10">
        <v>45664.265277777777</v>
      </c>
      <c r="D25" s="10">
        <v>45664.267384259263</v>
      </c>
      <c r="E25" s="10">
        <v>45664.277731481481</v>
      </c>
      <c r="F25" s="10">
        <v>45664.279178240737</v>
      </c>
      <c r="G25" s="3" t="s">
        <v>292</v>
      </c>
      <c r="H25" s="10">
        <v>45664.296180555553</v>
      </c>
      <c r="I25" s="10">
        <v>45664.330868055556</v>
      </c>
      <c r="J25" s="10">
        <v>45664.33152777778</v>
      </c>
      <c r="K25" s="11">
        <f t="shared" si="0"/>
        <v>1.0347222218115348E-2</v>
      </c>
      <c r="L25" s="11">
        <f t="shared" si="1"/>
        <v>5.168981481983792E-2</v>
      </c>
    </row>
    <row r="26" spans="1:12" x14ac:dyDescent="0.45">
      <c r="A26" s="3" t="s">
        <v>294</v>
      </c>
      <c r="B26" s="3" t="s">
        <v>147</v>
      </c>
      <c r="C26" s="10">
        <v>45664.265277777777</v>
      </c>
      <c r="D26" s="10">
        <v>45664.267384259263</v>
      </c>
      <c r="E26" s="10">
        <v>45664.279178240737</v>
      </c>
      <c r="F26" s="10">
        <v>45664.280451388891</v>
      </c>
      <c r="G26" s="3" t="s">
        <v>289</v>
      </c>
      <c r="H26" s="10">
        <v>45664.298263888893</v>
      </c>
      <c r="I26" s="10">
        <v>45664.340694444443</v>
      </c>
      <c r="J26" s="10">
        <v>45664.341631944437</v>
      </c>
      <c r="K26" s="11">
        <f t="shared" si="0"/>
        <v>1.1793981473601889E-2</v>
      </c>
      <c r="L26" s="11">
        <f t="shared" si="1"/>
        <v>6.0243055551836733E-2</v>
      </c>
    </row>
    <row r="27" spans="1:12" x14ac:dyDescent="0.45">
      <c r="A27" s="3" t="s">
        <v>296</v>
      </c>
      <c r="B27" s="3" t="s">
        <v>148</v>
      </c>
      <c r="C27" s="10">
        <v>45664.275694444441</v>
      </c>
      <c r="D27" s="10">
        <v>45664.277141203696</v>
      </c>
      <c r="E27" s="10">
        <v>45664.283865740741</v>
      </c>
      <c r="F27" s="10">
        <v>45664.285173611112</v>
      </c>
      <c r="G27" s="3" t="s">
        <v>292</v>
      </c>
      <c r="H27" s="10">
        <v>45664.296180555553</v>
      </c>
      <c r="I27" s="10">
        <v>45664.330868055556</v>
      </c>
      <c r="J27" s="10">
        <v>45664.33152777778</v>
      </c>
      <c r="K27" s="11">
        <f t="shared" si="0"/>
        <v>6.7245370446471497E-3</v>
      </c>
      <c r="L27" s="11">
        <f t="shared" si="1"/>
        <v>4.5694444444961846E-2</v>
      </c>
    </row>
    <row r="28" spans="1:12" x14ac:dyDescent="0.45">
      <c r="A28" s="3" t="s">
        <v>298</v>
      </c>
      <c r="B28" s="3" t="s">
        <v>148</v>
      </c>
      <c r="C28" s="10">
        <v>45664.275694444441</v>
      </c>
      <c r="D28" s="10">
        <v>45664.277141203696</v>
      </c>
      <c r="E28" s="10">
        <v>45664.285173611112</v>
      </c>
      <c r="F28" s="10">
        <v>45664.286377314813</v>
      </c>
      <c r="G28" s="3" t="s">
        <v>299</v>
      </c>
      <c r="H28" s="10">
        <v>45664.313958333332</v>
      </c>
      <c r="I28" s="10">
        <v>45664.357673611114</v>
      </c>
      <c r="J28" s="10">
        <v>45664.358541666668</v>
      </c>
      <c r="K28" s="11">
        <f t="shared" si="0"/>
        <v>8.0324074151576497E-3</v>
      </c>
      <c r="L28" s="11">
        <f t="shared" si="1"/>
        <v>7.1296296300715767E-2</v>
      </c>
    </row>
    <row r="29" spans="1:12" x14ac:dyDescent="0.45">
      <c r="A29" s="3" t="s">
        <v>301</v>
      </c>
      <c r="B29" s="3" t="s">
        <v>148</v>
      </c>
      <c r="C29" s="10">
        <v>45664.275694444441</v>
      </c>
      <c r="D29" s="10">
        <v>45664.277141203696</v>
      </c>
      <c r="E29" s="10">
        <v>45664.286377314813</v>
      </c>
      <c r="F29" s="10">
        <v>45664.287789351853</v>
      </c>
      <c r="G29" s="3" t="s">
        <v>302</v>
      </c>
      <c r="H29" s="10">
        <v>45664.309062499997</v>
      </c>
      <c r="I29" s="10">
        <v>45664.356793981482</v>
      </c>
      <c r="J29" s="10">
        <v>45664.357673611114</v>
      </c>
      <c r="K29" s="11">
        <f t="shared" si="0"/>
        <v>9.236111116479151E-3</v>
      </c>
      <c r="L29" s="11">
        <f t="shared" si="1"/>
        <v>6.90046296294895E-2</v>
      </c>
    </row>
    <row r="30" spans="1:12" x14ac:dyDescent="0.45">
      <c r="A30" s="3" t="s">
        <v>304</v>
      </c>
      <c r="B30" s="3" t="s">
        <v>149</v>
      </c>
      <c r="C30" s="10">
        <v>45664.284722222219</v>
      </c>
      <c r="D30" s="10">
        <v>45664.286539351851</v>
      </c>
      <c r="E30" s="10">
        <v>45664.291331018518</v>
      </c>
      <c r="F30" s="10">
        <v>45664.292685185188</v>
      </c>
      <c r="G30" s="3" t="s">
        <v>305</v>
      </c>
      <c r="H30" s="10">
        <v>45664.704375000001</v>
      </c>
      <c r="I30" s="10">
        <v>45664.735798611109</v>
      </c>
      <c r="J30" s="10">
        <v>45664.736712962957</v>
      </c>
      <c r="K30" s="11">
        <f t="shared" si="0"/>
        <v>4.7916666662786156E-3</v>
      </c>
      <c r="L30" s="11">
        <f t="shared" si="1"/>
        <v>0.44311342592118308</v>
      </c>
    </row>
    <row r="31" spans="1:12" x14ac:dyDescent="0.45">
      <c r="A31" s="3" t="s">
        <v>307</v>
      </c>
      <c r="B31" s="3" t="s">
        <v>149</v>
      </c>
      <c r="C31" s="10">
        <v>45664.284722222219</v>
      </c>
      <c r="D31" s="10">
        <v>45664.286539351851</v>
      </c>
      <c r="E31" s="10">
        <v>45664.291331018518</v>
      </c>
      <c r="F31" s="10">
        <v>45664.292685185188</v>
      </c>
      <c r="G31" s="3" t="s">
        <v>305</v>
      </c>
      <c r="H31" s="10">
        <v>45664.704375000001</v>
      </c>
      <c r="I31" s="10">
        <v>45664.735798611109</v>
      </c>
      <c r="J31" s="10">
        <v>45664.736712962957</v>
      </c>
      <c r="K31" s="11">
        <f t="shared" si="0"/>
        <v>4.7916666662786156E-3</v>
      </c>
      <c r="L31" s="11">
        <f t="shared" si="1"/>
        <v>0.44311342592118308</v>
      </c>
    </row>
    <row r="32" spans="1:12" x14ac:dyDescent="0.45">
      <c r="A32" s="3" t="s">
        <v>309</v>
      </c>
      <c r="B32" s="3" t="s">
        <v>149</v>
      </c>
      <c r="C32" s="10">
        <v>45664.284722222219</v>
      </c>
      <c r="D32" s="10">
        <v>45664.286539351851</v>
      </c>
      <c r="E32" s="10">
        <v>45664.291331018518</v>
      </c>
      <c r="F32" s="10">
        <v>45664.292685185188</v>
      </c>
      <c r="G32" s="3" t="s">
        <v>305</v>
      </c>
      <c r="H32" s="10">
        <v>45664.704375000001</v>
      </c>
      <c r="I32" s="10">
        <v>45664.735798611109</v>
      </c>
      <c r="J32" s="10">
        <v>45664.736712962957</v>
      </c>
      <c r="K32" s="11">
        <f t="shared" si="0"/>
        <v>4.7916666662786156E-3</v>
      </c>
      <c r="L32" s="11">
        <f t="shared" si="1"/>
        <v>0.44311342592118308</v>
      </c>
    </row>
    <row r="33" spans="1:12" x14ac:dyDescent="0.45">
      <c r="A33" s="3" t="s">
        <v>311</v>
      </c>
      <c r="B33" s="3" t="s">
        <v>150</v>
      </c>
      <c r="C33" s="10">
        <v>45664.292361111111</v>
      </c>
      <c r="D33" s="10">
        <v>45664.293958333343</v>
      </c>
      <c r="E33" s="10">
        <v>45664.300185185188</v>
      </c>
      <c r="F33" s="10">
        <v>45664.301620370366</v>
      </c>
      <c r="G33" s="3" t="s">
        <v>302</v>
      </c>
      <c r="H33" s="10">
        <v>45664.309062499997</v>
      </c>
      <c r="I33" s="10">
        <v>45664.356793981482</v>
      </c>
      <c r="J33" s="10">
        <v>45664.357673611114</v>
      </c>
      <c r="K33" s="11">
        <f t="shared" si="0"/>
        <v>6.2268518449855037E-3</v>
      </c>
      <c r="L33" s="11">
        <f t="shared" si="1"/>
        <v>5.5173611115606036E-2</v>
      </c>
    </row>
    <row r="34" spans="1:12" x14ac:dyDescent="0.45">
      <c r="A34" s="3" t="s">
        <v>313</v>
      </c>
      <c r="B34" s="3" t="s">
        <v>150</v>
      </c>
      <c r="C34" s="10">
        <v>45664.292361111111</v>
      </c>
      <c r="D34" s="10">
        <v>45664.293958333343</v>
      </c>
      <c r="E34" s="10">
        <v>45664.300185185188</v>
      </c>
      <c r="F34" s="10">
        <v>45664.301620370366</v>
      </c>
      <c r="G34" s="3" t="s">
        <v>302</v>
      </c>
      <c r="H34" s="10">
        <v>45664.309062499997</v>
      </c>
      <c r="I34" s="10">
        <v>45664.356793981482</v>
      </c>
      <c r="J34" s="10">
        <v>45664.357673611114</v>
      </c>
      <c r="K34" s="11">
        <f t="shared" si="0"/>
        <v>6.2268518449855037E-3</v>
      </c>
      <c r="L34" s="11">
        <f t="shared" si="1"/>
        <v>5.5173611115606036E-2</v>
      </c>
    </row>
    <row r="35" spans="1:12" x14ac:dyDescent="0.45">
      <c r="A35" s="3" t="s">
        <v>315</v>
      </c>
      <c r="B35" s="3" t="s">
        <v>150</v>
      </c>
      <c r="C35" s="10">
        <v>45664.292361111111</v>
      </c>
      <c r="D35" s="10">
        <v>45664.293958333343</v>
      </c>
      <c r="E35" s="10">
        <v>45664.301620370366</v>
      </c>
      <c r="F35" s="10">
        <v>45664.30300925926</v>
      </c>
      <c r="G35" s="3" t="s">
        <v>299</v>
      </c>
      <c r="H35" s="10">
        <v>45664.313958333332</v>
      </c>
      <c r="I35" s="10">
        <v>45664.357673611114</v>
      </c>
      <c r="J35" s="10">
        <v>45664.358541666668</v>
      </c>
      <c r="K35" s="11">
        <f t="shared" si="0"/>
        <v>7.6620370236923918E-3</v>
      </c>
      <c r="L35" s="11">
        <f t="shared" si="1"/>
        <v>5.4664351853716653E-2</v>
      </c>
    </row>
    <row r="36" spans="1:12" x14ac:dyDescent="0.45">
      <c r="A36" s="3" t="s">
        <v>317</v>
      </c>
      <c r="B36" s="3" t="s">
        <v>150</v>
      </c>
      <c r="C36" s="10">
        <v>45664.292361111111</v>
      </c>
      <c r="D36" s="10">
        <v>45664.293958333343</v>
      </c>
      <c r="E36" s="10">
        <v>45664.301620370366</v>
      </c>
      <c r="F36" s="10">
        <v>45664.30300925926</v>
      </c>
      <c r="G36" s="3" t="s">
        <v>299</v>
      </c>
      <c r="H36" s="10">
        <v>45664.313958333332</v>
      </c>
      <c r="I36" s="10">
        <v>45664.357673611114</v>
      </c>
      <c r="J36" s="10">
        <v>45664.358541666668</v>
      </c>
      <c r="K36" s="11">
        <f t="shared" si="0"/>
        <v>7.6620370236923918E-3</v>
      </c>
      <c r="L36" s="11">
        <f t="shared" si="1"/>
        <v>5.4664351853716653E-2</v>
      </c>
    </row>
    <row r="37" spans="1:12" x14ac:dyDescent="0.45">
      <c r="A37" s="3" t="s">
        <v>319</v>
      </c>
      <c r="B37" s="3" t="s">
        <v>151</v>
      </c>
      <c r="C37" s="10">
        <v>45664.541666666657</v>
      </c>
      <c r="D37" s="10">
        <v>45664.543553240743</v>
      </c>
      <c r="E37" s="10">
        <v>45664.548784722218</v>
      </c>
      <c r="F37" s="10">
        <v>45664.549826388888</v>
      </c>
      <c r="G37" s="3" t="s">
        <v>320</v>
      </c>
      <c r="H37" s="10">
        <v>45664.559664351851</v>
      </c>
      <c r="I37" s="10">
        <v>45664.582673611112</v>
      </c>
      <c r="J37" s="10">
        <v>45664.583437499998</v>
      </c>
      <c r="K37" s="11">
        <f t="shared" si="0"/>
        <v>5.2314814747660421E-3</v>
      </c>
      <c r="L37" s="11">
        <f t="shared" si="1"/>
        <v>3.2847222224518191E-2</v>
      </c>
    </row>
    <row r="38" spans="1:12" x14ac:dyDescent="0.45">
      <c r="A38" s="3" t="s">
        <v>322</v>
      </c>
      <c r="B38" s="3" t="s">
        <v>151</v>
      </c>
      <c r="C38" s="10">
        <v>45664.541666666657</v>
      </c>
      <c r="D38" s="10">
        <v>45664.543553240743</v>
      </c>
      <c r="E38" s="10">
        <v>45664.548784722218</v>
      </c>
      <c r="F38" s="10">
        <v>45664.549826388888</v>
      </c>
      <c r="G38" s="3" t="s">
        <v>320</v>
      </c>
      <c r="H38" s="10">
        <v>45664.559664351851</v>
      </c>
      <c r="I38" s="10">
        <v>45664.582673611112</v>
      </c>
      <c r="J38" s="10">
        <v>45664.583437499998</v>
      </c>
      <c r="K38" s="11">
        <f t="shared" si="0"/>
        <v>5.2314814747660421E-3</v>
      </c>
      <c r="L38" s="11">
        <f t="shared" si="1"/>
        <v>3.2847222224518191E-2</v>
      </c>
    </row>
    <row r="39" spans="1:12" x14ac:dyDescent="0.45">
      <c r="A39" s="3" t="s">
        <v>324</v>
      </c>
      <c r="B39" s="3" t="s">
        <v>151</v>
      </c>
      <c r="C39" s="10">
        <v>45664.541666666657</v>
      </c>
      <c r="D39" s="10">
        <v>45664.543553240743</v>
      </c>
      <c r="E39" s="10">
        <v>45664.548784722218</v>
      </c>
      <c r="F39" s="10">
        <v>45664.549826388888</v>
      </c>
      <c r="G39" s="3" t="s">
        <v>320</v>
      </c>
      <c r="H39" s="10">
        <v>45664.559664351851</v>
      </c>
      <c r="I39" s="10">
        <v>45664.582673611112</v>
      </c>
      <c r="J39" s="10">
        <v>45664.583437499998</v>
      </c>
      <c r="K39" s="11">
        <f t="shared" si="0"/>
        <v>5.2314814747660421E-3</v>
      </c>
      <c r="L39" s="11">
        <f t="shared" si="1"/>
        <v>3.2847222224518191E-2</v>
      </c>
    </row>
    <row r="40" spans="1:12" x14ac:dyDescent="0.45">
      <c r="A40" s="3" t="s">
        <v>326</v>
      </c>
      <c r="B40" s="3" t="s">
        <v>152</v>
      </c>
      <c r="C40" s="10">
        <v>45664.6875</v>
      </c>
      <c r="D40" s="10">
        <v>45664.689270833333</v>
      </c>
      <c r="E40" s="10">
        <v>45664.693993055553</v>
      </c>
      <c r="F40" s="10">
        <v>45664.695300925923</v>
      </c>
      <c r="G40" s="3" t="s">
        <v>305</v>
      </c>
      <c r="H40" s="10">
        <v>45664.704375000001</v>
      </c>
      <c r="I40" s="10">
        <v>45664.735798611109</v>
      </c>
      <c r="J40" s="10">
        <v>45664.736712962957</v>
      </c>
      <c r="K40" s="11">
        <f t="shared" si="0"/>
        <v>4.7222222201526165E-3</v>
      </c>
      <c r="L40" s="11">
        <f t="shared" si="1"/>
        <v>4.0497685185982846E-2</v>
      </c>
    </row>
    <row r="41" spans="1:12" x14ac:dyDescent="0.45">
      <c r="A41" s="3" t="s">
        <v>328</v>
      </c>
      <c r="B41" s="3" t="s">
        <v>152</v>
      </c>
      <c r="C41" s="10">
        <v>45664.6875</v>
      </c>
      <c r="D41" s="10">
        <v>45664.689270833333</v>
      </c>
      <c r="E41" s="10">
        <v>45664.693993055553</v>
      </c>
      <c r="F41" s="10">
        <v>45664.695300925923</v>
      </c>
      <c r="G41" s="3" t="s">
        <v>305</v>
      </c>
      <c r="H41" s="10">
        <v>45664.704375000001</v>
      </c>
      <c r="I41" s="10">
        <v>45664.735798611109</v>
      </c>
      <c r="J41" s="10">
        <v>45664.736712962957</v>
      </c>
      <c r="K41" s="11">
        <f t="shared" si="0"/>
        <v>4.7222222201526165E-3</v>
      </c>
      <c r="L41" s="11">
        <f t="shared" si="1"/>
        <v>4.0497685185982846E-2</v>
      </c>
    </row>
    <row r="42" spans="1:12" x14ac:dyDescent="0.45">
      <c r="A42" s="3" t="s">
        <v>330</v>
      </c>
      <c r="B42" s="3" t="s">
        <v>153</v>
      </c>
      <c r="C42" s="10">
        <v>45664.833333333343</v>
      </c>
      <c r="D42" s="10">
        <v>45664.834699074083</v>
      </c>
      <c r="E42" s="10">
        <v>45664.839097222219</v>
      </c>
      <c r="F42" s="10">
        <v>45664.840150462973</v>
      </c>
      <c r="G42" s="3" t="s">
        <v>331</v>
      </c>
      <c r="H42" s="10">
        <v>45665.253622685188</v>
      </c>
      <c r="I42" s="10">
        <v>45665.276712962957</v>
      </c>
      <c r="J42" s="10">
        <v>45665.27747685185</v>
      </c>
      <c r="K42" s="11">
        <f t="shared" si="0"/>
        <v>4.3981481358059682E-3</v>
      </c>
      <c r="L42" s="11">
        <f t="shared" si="1"/>
        <v>0.43656249998457497</v>
      </c>
    </row>
    <row r="43" spans="1:12" x14ac:dyDescent="0.45">
      <c r="A43" s="3" t="s">
        <v>333</v>
      </c>
      <c r="B43" s="3" t="s">
        <v>153</v>
      </c>
      <c r="C43" s="10">
        <v>45664.833333333343</v>
      </c>
      <c r="D43" s="10">
        <v>45664.834699074083</v>
      </c>
      <c r="E43" s="10">
        <v>45664.840150462973</v>
      </c>
      <c r="F43" s="10">
        <v>45664.841296296298</v>
      </c>
      <c r="G43" s="3" t="s">
        <v>334</v>
      </c>
      <c r="H43" s="10">
        <v>45665.254583333342</v>
      </c>
      <c r="I43" s="10">
        <v>45665.277673611112</v>
      </c>
      <c r="J43" s="10">
        <v>45665.278402777767</v>
      </c>
      <c r="K43" s="11">
        <f t="shared" si="0"/>
        <v>5.4513888899236917E-3</v>
      </c>
      <c r="L43" s="11">
        <f t="shared" si="1"/>
        <v>0.43637731481430819</v>
      </c>
    </row>
    <row r="44" spans="1:12" x14ac:dyDescent="0.45">
      <c r="A44" s="3" t="s">
        <v>349</v>
      </c>
      <c r="B44" s="3" t="s">
        <v>156</v>
      </c>
      <c r="C44" s="10">
        <v>45665.229166666657</v>
      </c>
      <c r="D44" s="10">
        <v>45665.230532407397</v>
      </c>
      <c r="E44" s="10">
        <v>45665.235798611109</v>
      </c>
      <c r="F44" s="10">
        <v>45665.237361111111</v>
      </c>
      <c r="G44" s="3" t="s">
        <v>351</v>
      </c>
      <c r="H44" s="10">
        <v>45667.337592592587</v>
      </c>
      <c r="I44" s="10">
        <v>45667.360682870371</v>
      </c>
      <c r="J44" s="10">
        <v>45667.361377314817</v>
      </c>
      <c r="K44" s="11">
        <f t="shared" si="0"/>
        <v>5.2662037123809569E-3</v>
      </c>
      <c r="L44" s="11">
        <f t="shared" si="1"/>
        <v>2.1233217592598521</v>
      </c>
    </row>
    <row r="45" spans="1:12" x14ac:dyDescent="0.45">
      <c r="A45" s="3" t="s">
        <v>353</v>
      </c>
      <c r="B45" s="3" t="s">
        <v>156</v>
      </c>
      <c r="C45" s="10">
        <v>45665.229166666657</v>
      </c>
      <c r="D45" s="10">
        <v>45665.230532407397</v>
      </c>
      <c r="E45" s="10">
        <v>45665.237361111111</v>
      </c>
      <c r="F45" s="10">
        <v>45665.238993055558</v>
      </c>
      <c r="G45" s="3" t="s">
        <v>355</v>
      </c>
      <c r="H45" s="10">
        <v>45665.393368055556</v>
      </c>
      <c r="I45" s="10">
        <v>45665.42528935185</v>
      </c>
      <c r="J45" s="10">
        <v>45665.426203703697</v>
      </c>
      <c r="K45" s="11">
        <f t="shared" si="0"/>
        <v>6.8287037138361484E-3</v>
      </c>
      <c r="L45" s="11">
        <f t="shared" si="1"/>
        <v>0.18629629629140254</v>
      </c>
    </row>
    <row r="46" spans="1:12" x14ac:dyDescent="0.45">
      <c r="A46" s="3" t="s">
        <v>344</v>
      </c>
      <c r="B46" s="3" t="s">
        <v>157</v>
      </c>
      <c r="C46" s="10">
        <v>45665.229166666657</v>
      </c>
      <c r="D46" s="10">
        <v>45665.230543981481</v>
      </c>
      <c r="E46" s="10">
        <v>45665.239861111113</v>
      </c>
      <c r="F46" s="10">
        <v>45665.24119212963</v>
      </c>
      <c r="G46" s="3" t="s">
        <v>345</v>
      </c>
      <c r="H46" s="10">
        <v>45665.403715277767</v>
      </c>
      <c r="I46" s="10">
        <v>45665.446250000001</v>
      </c>
      <c r="J46" s="10">
        <v>45665.447395833333</v>
      </c>
      <c r="K46" s="11">
        <f t="shared" si="0"/>
        <v>9.3171296321088448E-3</v>
      </c>
      <c r="L46" s="11">
        <f t="shared" si="1"/>
        <v>0.20505787037109258</v>
      </c>
    </row>
    <row r="47" spans="1:12" x14ac:dyDescent="0.45">
      <c r="A47" s="3" t="s">
        <v>347</v>
      </c>
      <c r="B47" s="3" t="s">
        <v>157</v>
      </c>
      <c r="C47" s="10">
        <v>45665.229166666657</v>
      </c>
      <c r="D47" s="10">
        <v>45665.230543981481</v>
      </c>
      <c r="E47" s="10">
        <v>45665.239861111113</v>
      </c>
      <c r="F47" s="10">
        <v>45665.24119212963</v>
      </c>
      <c r="G47" s="3" t="s">
        <v>345</v>
      </c>
      <c r="H47" s="10">
        <v>45665.403715277767</v>
      </c>
      <c r="I47" s="10">
        <v>45665.446250000001</v>
      </c>
      <c r="J47" s="10">
        <v>45665.447395833333</v>
      </c>
      <c r="K47" s="11">
        <f t="shared" si="0"/>
        <v>9.3171296321088448E-3</v>
      </c>
      <c r="L47" s="11">
        <f t="shared" si="1"/>
        <v>0.20505787037109258</v>
      </c>
    </row>
    <row r="48" spans="1:12" x14ac:dyDescent="0.45">
      <c r="A48" s="3" t="s">
        <v>336</v>
      </c>
      <c r="B48" s="3" t="s">
        <v>155</v>
      </c>
      <c r="C48" s="10">
        <v>45665.229166666657</v>
      </c>
      <c r="D48" s="10">
        <v>45665.231203703697</v>
      </c>
      <c r="E48" s="10">
        <v>45665.242071759261</v>
      </c>
      <c r="F48" s="10">
        <v>45665.242974537039</v>
      </c>
      <c r="G48" s="3" t="s">
        <v>334</v>
      </c>
      <c r="H48" s="10">
        <v>45665.254583333342</v>
      </c>
      <c r="I48" s="10">
        <v>45665.277673611112</v>
      </c>
      <c r="J48" s="10">
        <v>45665.278402777767</v>
      </c>
      <c r="K48" s="11">
        <f t="shared" si="0"/>
        <v>1.0868055564060342E-2</v>
      </c>
      <c r="L48" s="11">
        <f t="shared" si="1"/>
        <v>3.4699074072705116E-2</v>
      </c>
    </row>
    <row r="49" spans="1:12" x14ac:dyDescent="0.45">
      <c r="A49" s="3" t="s">
        <v>338</v>
      </c>
      <c r="B49" s="3" t="s">
        <v>155</v>
      </c>
      <c r="C49" s="10">
        <v>45665.229166666657</v>
      </c>
      <c r="D49" s="10">
        <v>45665.231203703697</v>
      </c>
      <c r="E49" s="10">
        <v>45665.242974537039</v>
      </c>
      <c r="F49" s="10">
        <v>45665.243946759263</v>
      </c>
      <c r="G49" s="3" t="s">
        <v>331</v>
      </c>
      <c r="H49" s="10">
        <v>45665.253622685188</v>
      </c>
      <c r="I49" s="10">
        <v>45665.276712962957</v>
      </c>
      <c r="J49" s="10">
        <v>45665.27747685185</v>
      </c>
      <c r="K49" s="11">
        <f t="shared" si="0"/>
        <v>1.1770833341870457E-2</v>
      </c>
      <c r="L49" s="11">
        <f t="shared" si="1"/>
        <v>3.2766203694336582E-2</v>
      </c>
    </row>
    <row r="50" spans="1:12" x14ac:dyDescent="0.45">
      <c r="A50" s="3" t="s">
        <v>340</v>
      </c>
      <c r="B50" s="3" t="s">
        <v>155</v>
      </c>
      <c r="C50" s="10">
        <v>45665.229166666657</v>
      </c>
      <c r="D50" s="10">
        <v>45665.231203703697</v>
      </c>
      <c r="E50" s="10">
        <v>45665.242974537039</v>
      </c>
      <c r="F50" s="10">
        <v>45665.243946759263</v>
      </c>
      <c r="G50" s="3" t="s">
        <v>331</v>
      </c>
      <c r="H50" s="10">
        <v>45665.253622685188</v>
      </c>
      <c r="I50" s="10">
        <v>45665.276712962957</v>
      </c>
      <c r="J50" s="10">
        <v>45665.27747685185</v>
      </c>
      <c r="K50" s="11">
        <f t="shared" si="0"/>
        <v>1.1770833341870457E-2</v>
      </c>
      <c r="L50" s="11">
        <f t="shared" si="1"/>
        <v>3.2766203694336582E-2</v>
      </c>
    </row>
    <row r="51" spans="1:12" x14ac:dyDescent="0.45">
      <c r="A51" s="3" t="s">
        <v>342</v>
      </c>
      <c r="B51" s="3" t="s">
        <v>155</v>
      </c>
      <c r="C51" s="10">
        <v>45665.229166666657</v>
      </c>
      <c r="D51" s="10">
        <v>45665.231203703697</v>
      </c>
      <c r="E51" s="10">
        <v>45665.243946759263</v>
      </c>
      <c r="F51" s="10">
        <v>45665.24491898148</v>
      </c>
      <c r="G51" s="3" t="s">
        <v>334</v>
      </c>
      <c r="H51" s="10">
        <v>45665.254583333342</v>
      </c>
      <c r="I51" s="10">
        <v>45665.277673611112</v>
      </c>
      <c r="J51" s="10">
        <v>45665.278402777767</v>
      </c>
      <c r="K51" s="11">
        <f t="shared" si="0"/>
        <v>1.2743055565806571E-2</v>
      </c>
      <c r="L51" s="11">
        <f t="shared" si="1"/>
        <v>3.2754629632108845E-2</v>
      </c>
    </row>
    <row r="52" spans="1:12" x14ac:dyDescent="0.45">
      <c r="A52" s="3" t="s">
        <v>357</v>
      </c>
      <c r="B52" s="3" t="s">
        <v>158</v>
      </c>
      <c r="C52" s="10">
        <v>45665.375</v>
      </c>
      <c r="D52" s="10">
        <v>45665.377002314817</v>
      </c>
      <c r="E52" s="10">
        <v>45665.383171296293</v>
      </c>
      <c r="F52" s="10">
        <v>45665.383993055562</v>
      </c>
      <c r="G52" s="3" t="s">
        <v>358</v>
      </c>
      <c r="H52" s="10">
        <v>45665.614490740743</v>
      </c>
      <c r="I52" s="10">
        <v>45665.6403587963</v>
      </c>
      <c r="J52" s="10">
        <v>45665.641168981478</v>
      </c>
      <c r="K52" s="11">
        <f t="shared" si="0"/>
        <v>6.168981475639157E-3</v>
      </c>
      <c r="L52" s="11">
        <f t="shared" si="1"/>
        <v>0.2563657407372375</v>
      </c>
    </row>
    <row r="53" spans="1:12" x14ac:dyDescent="0.45">
      <c r="A53" s="3" t="s">
        <v>360</v>
      </c>
      <c r="B53" s="3" t="s">
        <v>158</v>
      </c>
      <c r="C53" s="10">
        <v>45665.375</v>
      </c>
      <c r="D53" s="10">
        <v>45665.377002314817</v>
      </c>
      <c r="E53" s="10">
        <v>45665.383993055562</v>
      </c>
      <c r="F53" s="10">
        <v>45665.385659722233</v>
      </c>
      <c r="G53" s="3" t="s">
        <v>355</v>
      </c>
      <c r="H53" s="10">
        <v>45665.393368055556</v>
      </c>
      <c r="I53" s="10">
        <v>45665.42528935185</v>
      </c>
      <c r="J53" s="10">
        <v>45665.426203703697</v>
      </c>
      <c r="K53" s="11">
        <f t="shared" si="0"/>
        <v>6.9907407450955361E-3</v>
      </c>
      <c r="L53" s="11">
        <f t="shared" si="1"/>
        <v>3.9629629616683815E-2</v>
      </c>
    </row>
    <row r="54" spans="1:12" x14ac:dyDescent="0.45">
      <c r="A54" s="3" t="s">
        <v>362</v>
      </c>
      <c r="B54" s="3" t="s">
        <v>158</v>
      </c>
      <c r="C54" s="10">
        <v>45665.375</v>
      </c>
      <c r="D54" s="10">
        <v>45665.377002314817</v>
      </c>
      <c r="E54" s="10">
        <v>45665.383993055562</v>
      </c>
      <c r="F54" s="10">
        <v>45665.385659722233</v>
      </c>
      <c r="G54" s="3" t="s">
        <v>355</v>
      </c>
      <c r="H54" s="10">
        <v>45665.393368055556</v>
      </c>
      <c r="I54" s="10">
        <v>45665.42528935185</v>
      </c>
      <c r="J54" s="10">
        <v>45665.426203703697</v>
      </c>
      <c r="K54" s="11">
        <f t="shared" si="0"/>
        <v>6.9907407450955361E-3</v>
      </c>
      <c r="L54" s="11">
        <f t="shared" si="1"/>
        <v>3.9629629616683815E-2</v>
      </c>
    </row>
    <row r="55" spans="1:12" x14ac:dyDescent="0.45">
      <c r="A55" s="3" t="s">
        <v>364</v>
      </c>
      <c r="B55" s="3" t="s">
        <v>158</v>
      </c>
      <c r="C55" s="10">
        <v>45665.375</v>
      </c>
      <c r="D55" s="10">
        <v>45665.377002314817</v>
      </c>
      <c r="E55" s="10">
        <v>45665.383993055562</v>
      </c>
      <c r="F55" s="10">
        <v>45665.385659722233</v>
      </c>
      <c r="G55" s="3" t="s">
        <v>355</v>
      </c>
      <c r="H55" s="10">
        <v>45665.393368055556</v>
      </c>
      <c r="I55" s="10">
        <v>45665.42528935185</v>
      </c>
      <c r="J55" s="10">
        <v>45665.426203703697</v>
      </c>
      <c r="K55" s="11">
        <f t="shared" si="0"/>
        <v>6.9907407450955361E-3</v>
      </c>
      <c r="L55" s="11">
        <f t="shared" si="1"/>
        <v>3.9629629616683815E-2</v>
      </c>
    </row>
    <row r="56" spans="1:12" x14ac:dyDescent="0.45">
      <c r="A56" s="3" t="s">
        <v>366</v>
      </c>
      <c r="B56" s="3" t="s">
        <v>158</v>
      </c>
      <c r="C56" s="10">
        <v>45665.375</v>
      </c>
      <c r="D56" s="10">
        <v>45665.377002314817</v>
      </c>
      <c r="E56" s="10">
        <v>45665.383993055562</v>
      </c>
      <c r="F56" s="10">
        <v>45665.385659722233</v>
      </c>
      <c r="G56" s="3" t="s">
        <v>355</v>
      </c>
      <c r="H56" s="10">
        <v>45665.393368055556</v>
      </c>
      <c r="I56" s="10">
        <v>45665.42528935185</v>
      </c>
      <c r="J56" s="10">
        <v>45665.426203703697</v>
      </c>
      <c r="K56" s="11">
        <f t="shared" si="0"/>
        <v>6.9907407450955361E-3</v>
      </c>
      <c r="L56" s="11">
        <f t="shared" si="1"/>
        <v>3.9629629616683815E-2</v>
      </c>
    </row>
    <row r="57" spans="1:12" x14ac:dyDescent="0.45">
      <c r="A57" s="3" t="s">
        <v>368</v>
      </c>
      <c r="B57" s="3" t="s">
        <v>159</v>
      </c>
      <c r="C57" s="10">
        <v>45665.380555555559</v>
      </c>
      <c r="D57" s="10">
        <v>45665.382037037038</v>
      </c>
      <c r="E57" s="10">
        <v>45665.387685185182</v>
      </c>
      <c r="F57" s="10">
        <v>45665.389131944437</v>
      </c>
      <c r="G57" s="3" t="s">
        <v>345</v>
      </c>
      <c r="H57" s="10">
        <v>45665.403715277767</v>
      </c>
      <c r="I57" s="10">
        <v>45665.446250000001</v>
      </c>
      <c r="J57" s="10">
        <v>45665.447395833333</v>
      </c>
      <c r="K57" s="11">
        <f t="shared" si="0"/>
        <v>5.648148144246079E-3</v>
      </c>
      <c r="L57" s="11">
        <f t="shared" si="1"/>
        <v>5.7118055563478265E-2</v>
      </c>
    </row>
    <row r="58" spans="1:12" x14ac:dyDescent="0.45">
      <c r="A58" s="3" t="s">
        <v>370</v>
      </c>
      <c r="B58" s="3" t="s">
        <v>159</v>
      </c>
      <c r="C58" s="10">
        <v>45665.380555555559</v>
      </c>
      <c r="D58" s="10">
        <v>45665.382037037038</v>
      </c>
      <c r="E58" s="10">
        <v>45665.387685185182</v>
      </c>
      <c r="F58" s="10">
        <v>45665.389131944437</v>
      </c>
      <c r="G58" s="3" t="s">
        <v>345</v>
      </c>
      <c r="H58" s="10">
        <v>45665.403715277767</v>
      </c>
      <c r="I58" s="10">
        <v>45665.446250000001</v>
      </c>
      <c r="J58" s="10">
        <v>45665.447395833333</v>
      </c>
      <c r="K58" s="11">
        <f t="shared" si="0"/>
        <v>5.648148144246079E-3</v>
      </c>
      <c r="L58" s="11">
        <f t="shared" si="1"/>
        <v>5.7118055563478265E-2</v>
      </c>
    </row>
    <row r="59" spans="1:12" x14ac:dyDescent="0.45">
      <c r="A59" s="3" t="s">
        <v>372</v>
      </c>
      <c r="B59" s="3" t="s">
        <v>159</v>
      </c>
      <c r="C59" s="10">
        <v>45665.380555555559</v>
      </c>
      <c r="D59" s="10">
        <v>45665.382037037038</v>
      </c>
      <c r="E59" s="10">
        <v>45665.387685185182</v>
      </c>
      <c r="F59" s="10">
        <v>45665.389131944437</v>
      </c>
      <c r="G59" s="3" t="s">
        <v>345</v>
      </c>
      <c r="H59" s="10">
        <v>45665.403715277767</v>
      </c>
      <c r="I59" s="10">
        <v>45665.446250000001</v>
      </c>
      <c r="J59" s="10">
        <v>45665.447395833333</v>
      </c>
      <c r="K59" s="11">
        <f t="shared" si="0"/>
        <v>5.648148144246079E-3</v>
      </c>
      <c r="L59" s="11">
        <f t="shared" si="1"/>
        <v>5.7118055563478265E-2</v>
      </c>
    </row>
    <row r="60" spans="1:12" x14ac:dyDescent="0.45">
      <c r="A60" s="3" t="s">
        <v>374</v>
      </c>
      <c r="B60" s="3" t="s">
        <v>160</v>
      </c>
      <c r="C60" s="10">
        <v>45665.396527777782</v>
      </c>
      <c r="D60" s="10">
        <v>45665.398564814823</v>
      </c>
      <c r="E60" s="10">
        <v>45665.405057870368</v>
      </c>
      <c r="F60" s="10">
        <v>45665.405949074076</v>
      </c>
      <c r="G60" s="3" t="s">
        <v>375</v>
      </c>
      <c r="H60" s="10">
        <v>45665.454467592594</v>
      </c>
      <c r="I60" s="10">
        <v>45665.492164351846</v>
      </c>
      <c r="J60" s="10">
        <v>45665.493067129632</v>
      </c>
      <c r="K60" s="11">
        <f t="shared" si="0"/>
        <v>6.4930555454338901E-3</v>
      </c>
      <c r="L60" s="11">
        <f t="shared" si="1"/>
        <v>8.6215277769952081E-2</v>
      </c>
    </row>
    <row r="61" spans="1:12" x14ac:dyDescent="0.45">
      <c r="A61" s="3" t="s">
        <v>377</v>
      </c>
      <c r="B61" s="3" t="s">
        <v>160</v>
      </c>
      <c r="C61" s="10">
        <v>45665.396527777782</v>
      </c>
      <c r="D61" s="10">
        <v>45665.398564814823</v>
      </c>
      <c r="E61" s="10">
        <v>45665.405949074076</v>
      </c>
      <c r="F61" s="10">
        <v>45665.407465277778</v>
      </c>
      <c r="G61" s="3" t="s">
        <v>378</v>
      </c>
      <c r="H61" s="10">
        <v>45665.421481481477</v>
      </c>
      <c r="I61" s="10">
        <v>45665.457615740743</v>
      </c>
      <c r="J61" s="10">
        <v>45665.45853009259</v>
      </c>
      <c r="K61" s="11">
        <f t="shared" si="0"/>
        <v>7.3842592537403107E-3</v>
      </c>
      <c r="L61" s="11">
        <f t="shared" si="1"/>
        <v>5.0150462964666076E-2</v>
      </c>
    </row>
    <row r="62" spans="1:12" x14ac:dyDescent="0.45">
      <c r="A62" s="3" t="s">
        <v>380</v>
      </c>
      <c r="B62" s="3" t="s">
        <v>160</v>
      </c>
      <c r="C62" s="10">
        <v>45665.396527777782</v>
      </c>
      <c r="D62" s="10">
        <v>45665.398564814823</v>
      </c>
      <c r="E62" s="10">
        <v>45665.405949074076</v>
      </c>
      <c r="F62" s="10">
        <v>45665.407465277778</v>
      </c>
      <c r="G62" s="3" t="s">
        <v>378</v>
      </c>
      <c r="H62" s="10">
        <v>45665.421481481477</v>
      </c>
      <c r="I62" s="10">
        <v>45665.457615740743</v>
      </c>
      <c r="J62" s="10">
        <v>45665.45853009259</v>
      </c>
      <c r="K62" s="11">
        <f t="shared" si="0"/>
        <v>7.3842592537403107E-3</v>
      </c>
      <c r="L62" s="11">
        <f t="shared" si="1"/>
        <v>5.0150462964666076E-2</v>
      </c>
    </row>
    <row r="63" spans="1:12" x14ac:dyDescent="0.45">
      <c r="A63" s="3" t="s">
        <v>382</v>
      </c>
      <c r="B63" s="3" t="s">
        <v>160</v>
      </c>
      <c r="C63" s="10">
        <v>45665.396527777782</v>
      </c>
      <c r="D63" s="10">
        <v>45665.398564814823</v>
      </c>
      <c r="E63" s="10">
        <v>45665.405949074076</v>
      </c>
      <c r="F63" s="10">
        <v>45665.407465277778</v>
      </c>
      <c r="G63" s="3" t="s">
        <v>378</v>
      </c>
      <c r="H63" s="10">
        <v>45665.421481481477</v>
      </c>
      <c r="I63" s="10">
        <v>45665.457615740743</v>
      </c>
      <c r="J63" s="10">
        <v>45665.45853009259</v>
      </c>
      <c r="K63" s="11">
        <f t="shared" si="0"/>
        <v>7.3842592537403107E-3</v>
      </c>
      <c r="L63" s="11">
        <f t="shared" si="1"/>
        <v>5.0150462964666076E-2</v>
      </c>
    </row>
    <row r="64" spans="1:12" x14ac:dyDescent="0.45">
      <c r="A64" s="3" t="s">
        <v>384</v>
      </c>
      <c r="B64" s="3" t="s">
        <v>161</v>
      </c>
      <c r="C64" s="10">
        <v>45665.402777777781</v>
      </c>
      <c r="D64" s="10">
        <v>45665.404305555552</v>
      </c>
      <c r="E64" s="10">
        <v>45665.410243055558</v>
      </c>
      <c r="F64" s="10">
        <v>45665.411874999998</v>
      </c>
      <c r="G64" s="3" t="s">
        <v>385</v>
      </c>
      <c r="H64" s="10">
        <v>45665.433541666673</v>
      </c>
      <c r="I64" s="10">
        <v>45665.475763888891</v>
      </c>
      <c r="J64" s="10">
        <v>45665.476678240739</v>
      </c>
      <c r="K64" s="11">
        <f t="shared" si="0"/>
        <v>5.9375000055297278E-3</v>
      </c>
      <c r="L64" s="11">
        <f t="shared" si="1"/>
        <v>6.3888888893416151E-2</v>
      </c>
    </row>
    <row r="65" spans="1:12" x14ac:dyDescent="0.45">
      <c r="A65" s="3" t="s">
        <v>387</v>
      </c>
      <c r="B65" s="3" t="s">
        <v>161</v>
      </c>
      <c r="C65" s="10">
        <v>45665.402777777781</v>
      </c>
      <c r="D65" s="10">
        <v>45665.404305555552</v>
      </c>
      <c r="E65" s="10">
        <v>45665.410243055558</v>
      </c>
      <c r="F65" s="10">
        <v>45665.411874999998</v>
      </c>
      <c r="G65" s="3" t="s">
        <v>385</v>
      </c>
      <c r="H65" s="10">
        <v>45665.433541666673</v>
      </c>
      <c r="I65" s="10">
        <v>45665.475763888891</v>
      </c>
      <c r="J65" s="10">
        <v>45665.476678240739</v>
      </c>
      <c r="K65" s="11">
        <f t="shared" si="0"/>
        <v>5.9375000055297278E-3</v>
      </c>
      <c r="L65" s="11">
        <f t="shared" si="1"/>
        <v>6.3888888893416151E-2</v>
      </c>
    </row>
    <row r="66" spans="1:12" x14ac:dyDescent="0.45">
      <c r="A66" s="3" t="s">
        <v>389</v>
      </c>
      <c r="B66" s="3" t="s">
        <v>161</v>
      </c>
      <c r="C66" s="10">
        <v>45665.402777777781</v>
      </c>
      <c r="D66" s="10">
        <v>45665.404305555552</v>
      </c>
      <c r="E66" s="10">
        <v>45665.410243055558</v>
      </c>
      <c r="F66" s="10">
        <v>45665.411874999998</v>
      </c>
      <c r="G66" s="3" t="s">
        <v>385</v>
      </c>
      <c r="H66" s="10">
        <v>45665.433541666673</v>
      </c>
      <c r="I66" s="10">
        <v>45665.475763888891</v>
      </c>
      <c r="J66" s="10">
        <v>45665.476678240739</v>
      </c>
      <c r="K66" s="11">
        <f t="shared" ref="K66:K129" si="2">IF(AND(ISNUMBER(D66),ISNUMBER(E66)),(E66-D66),"")</f>
        <v>5.9375000055297278E-3</v>
      </c>
      <c r="L66" s="11">
        <f t="shared" ref="L66:L129" si="3">IF(AND(ISNUMBER(F66),ISNUMBER(I66)),(I66-F66),"")</f>
        <v>6.3888888893416151E-2</v>
      </c>
    </row>
    <row r="67" spans="1:12" x14ac:dyDescent="0.45">
      <c r="A67" s="3" t="s">
        <v>391</v>
      </c>
      <c r="B67" s="3" t="s">
        <v>162</v>
      </c>
      <c r="C67" s="10">
        <v>45665.420138888891</v>
      </c>
      <c r="D67" s="10">
        <v>45665.422326388893</v>
      </c>
      <c r="E67" s="10">
        <v>45665.429652777777</v>
      </c>
      <c r="F67" s="10">
        <v>45665.430891203701</v>
      </c>
      <c r="G67" s="3" t="s">
        <v>375</v>
      </c>
      <c r="H67" s="10">
        <v>45665.454467592594</v>
      </c>
      <c r="I67" s="10">
        <v>45665.492164351846</v>
      </c>
      <c r="J67" s="10">
        <v>45665.493067129632</v>
      </c>
      <c r="K67" s="11">
        <f t="shared" si="2"/>
        <v>7.326388884393964E-3</v>
      </c>
      <c r="L67" s="11">
        <f t="shared" si="3"/>
        <v>6.1273148145119194E-2</v>
      </c>
    </row>
    <row r="68" spans="1:12" x14ac:dyDescent="0.45">
      <c r="A68" s="3" t="s">
        <v>393</v>
      </c>
      <c r="B68" s="3" t="s">
        <v>162</v>
      </c>
      <c r="C68" s="10">
        <v>45665.420138888891</v>
      </c>
      <c r="D68" s="10">
        <v>45665.422326388893</v>
      </c>
      <c r="E68" s="10">
        <v>45665.429652777777</v>
      </c>
      <c r="F68" s="10">
        <v>45665.430891203701</v>
      </c>
      <c r="G68" s="3" t="s">
        <v>375</v>
      </c>
      <c r="H68" s="10">
        <v>45665.454467592594</v>
      </c>
      <c r="I68" s="10">
        <v>45665.492164351846</v>
      </c>
      <c r="J68" s="10">
        <v>45665.493067129632</v>
      </c>
      <c r="K68" s="11">
        <f t="shared" si="2"/>
        <v>7.326388884393964E-3</v>
      </c>
      <c r="L68" s="11">
        <f t="shared" si="3"/>
        <v>6.1273148145119194E-2</v>
      </c>
    </row>
    <row r="69" spans="1:12" x14ac:dyDescent="0.45">
      <c r="A69" s="3" t="s">
        <v>395</v>
      </c>
      <c r="B69" s="3" t="s">
        <v>162</v>
      </c>
      <c r="C69" s="10">
        <v>45665.420138888891</v>
      </c>
      <c r="D69" s="10">
        <v>45665.422326388893</v>
      </c>
      <c r="E69" s="10">
        <v>45665.429652777777</v>
      </c>
      <c r="F69" s="10">
        <v>45665.430891203701</v>
      </c>
      <c r="G69" s="3" t="s">
        <v>375</v>
      </c>
      <c r="H69" s="10">
        <v>45665.454467592594</v>
      </c>
      <c r="I69" s="10">
        <v>45665.492164351846</v>
      </c>
      <c r="J69" s="10">
        <v>45665.493067129632</v>
      </c>
      <c r="K69" s="11">
        <f t="shared" si="2"/>
        <v>7.326388884393964E-3</v>
      </c>
      <c r="L69" s="11">
        <f t="shared" si="3"/>
        <v>6.1273148145119194E-2</v>
      </c>
    </row>
    <row r="70" spans="1:12" x14ac:dyDescent="0.45">
      <c r="A70" s="3" t="s">
        <v>397</v>
      </c>
      <c r="B70" s="3" t="s">
        <v>162</v>
      </c>
      <c r="C70" s="10">
        <v>45665.420138888891</v>
      </c>
      <c r="D70" s="10">
        <v>45665.422326388893</v>
      </c>
      <c r="E70" s="10">
        <v>45665.430891203701</v>
      </c>
      <c r="F70" s="10">
        <v>45665.432199074072</v>
      </c>
      <c r="G70" s="3" t="s">
        <v>398</v>
      </c>
      <c r="H70" s="10">
        <v>45665.611238425918</v>
      </c>
      <c r="I70" s="10">
        <v>45665.634328703702</v>
      </c>
      <c r="J70" s="10">
        <v>45665.635138888887</v>
      </c>
      <c r="K70" s="11">
        <f t="shared" si="2"/>
        <v>8.5648148087784648E-3</v>
      </c>
      <c r="L70" s="11">
        <f t="shared" si="3"/>
        <v>0.20212962962978054</v>
      </c>
    </row>
    <row r="71" spans="1:12" x14ac:dyDescent="0.45">
      <c r="A71" s="3" t="s">
        <v>400</v>
      </c>
      <c r="B71" s="3" t="s">
        <v>163</v>
      </c>
      <c r="C71" s="10">
        <v>45665.59375</v>
      </c>
      <c r="D71" s="10">
        <v>45665.595706018517</v>
      </c>
      <c r="E71" s="10">
        <v>45665.601805555547</v>
      </c>
      <c r="F71" s="10">
        <v>45665.603032407409</v>
      </c>
      <c r="G71" s="3" t="s">
        <v>398</v>
      </c>
      <c r="H71" s="10">
        <v>45665.611238425918</v>
      </c>
      <c r="I71" s="10">
        <v>45665.634328703702</v>
      </c>
      <c r="J71" s="10">
        <v>45665.635138888887</v>
      </c>
      <c r="K71" s="11">
        <f t="shared" si="2"/>
        <v>6.0995370295131579E-3</v>
      </c>
      <c r="L71" s="11">
        <f t="shared" si="3"/>
        <v>3.1296296292566694E-2</v>
      </c>
    </row>
    <row r="72" spans="1:12" x14ac:dyDescent="0.45">
      <c r="A72" s="3" t="s">
        <v>402</v>
      </c>
      <c r="B72" s="3" t="s">
        <v>163</v>
      </c>
      <c r="C72" s="10">
        <v>45665.59375</v>
      </c>
      <c r="D72" s="10">
        <v>45665.595706018517</v>
      </c>
      <c r="E72" s="10">
        <v>45665.603032407409</v>
      </c>
      <c r="F72" s="10">
        <v>45665.604050925933</v>
      </c>
      <c r="G72" s="3" t="s">
        <v>358</v>
      </c>
      <c r="H72" s="10">
        <v>45665.614490740743</v>
      </c>
      <c r="I72" s="10">
        <v>45665.6403587963</v>
      </c>
      <c r="J72" s="10">
        <v>45665.641168981478</v>
      </c>
      <c r="K72" s="11">
        <f t="shared" si="2"/>
        <v>7.3263888916699216E-3</v>
      </c>
      <c r="L72" s="11">
        <f t="shared" si="3"/>
        <v>3.6307870366727002E-2</v>
      </c>
    </row>
    <row r="73" spans="1:12" x14ac:dyDescent="0.45">
      <c r="A73" s="3" t="s">
        <v>404</v>
      </c>
      <c r="B73" s="3" t="s">
        <v>163</v>
      </c>
      <c r="C73" s="10">
        <v>45665.59375</v>
      </c>
      <c r="D73" s="10">
        <v>45665.595706018517</v>
      </c>
      <c r="E73" s="10">
        <v>45665.603032407409</v>
      </c>
      <c r="F73" s="10">
        <v>45665.604050925933</v>
      </c>
      <c r="G73" s="3" t="s">
        <v>358</v>
      </c>
      <c r="H73" s="10">
        <v>45665.614490740743</v>
      </c>
      <c r="I73" s="10">
        <v>45665.6403587963</v>
      </c>
      <c r="J73" s="10">
        <v>45665.641168981478</v>
      </c>
      <c r="K73" s="11">
        <f t="shared" si="2"/>
        <v>7.3263888916699216E-3</v>
      </c>
      <c r="L73" s="11">
        <f t="shared" si="3"/>
        <v>3.6307870366727002E-2</v>
      </c>
    </row>
    <row r="74" spans="1:12" x14ac:dyDescent="0.45">
      <c r="A74" s="3" t="s">
        <v>406</v>
      </c>
      <c r="B74" s="3" t="s">
        <v>164</v>
      </c>
      <c r="C74" s="10">
        <v>45665.75</v>
      </c>
      <c r="D74" s="10">
        <v>45665.751851851863</v>
      </c>
      <c r="E74" s="10">
        <v>45665.757013888891</v>
      </c>
      <c r="F74" s="10">
        <v>45665.758020833331</v>
      </c>
      <c r="G74" s="3" t="s">
        <v>407</v>
      </c>
      <c r="H74" s="10">
        <v>45665.767060185193</v>
      </c>
      <c r="I74" s="10">
        <v>45665.78733796296</v>
      </c>
      <c r="J74" s="10">
        <v>45665.78806712963</v>
      </c>
      <c r="K74" s="11">
        <f t="shared" si="2"/>
        <v>5.162037028640043E-3</v>
      </c>
      <c r="L74" s="11">
        <f t="shared" si="3"/>
        <v>2.9317129628907423E-2</v>
      </c>
    </row>
    <row r="75" spans="1:12" x14ac:dyDescent="0.45">
      <c r="A75" s="3" t="s">
        <v>409</v>
      </c>
      <c r="B75" s="3" t="s">
        <v>164</v>
      </c>
      <c r="C75" s="10">
        <v>45665.75</v>
      </c>
      <c r="D75" s="10">
        <v>45665.751851851863</v>
      </c>
      <c r="E75" s="10">
        <v>45665.757013888891</v>
      </c>
      <c r="F75" s="10">
        <v>45665.758020833331</v>
      </c>
      <c r="G75" s="3" t="s">
        <v>407</v>
      </c>
      <c r="H75" s="10">
        <v>45665.767060185193</v>
      </c>
      <c r="I75" s="10">
        <v>45665.78733796296</v>
      </c>
      <c r="J75" s="10">
        <v>45665.78806712963</v>
      </c>
      <c r="K75" s="11">
        <f t="shared" si="2"/>
        <v>5.162037028640043E-3</v>
      </c>
      <c r="L75" s="11">
        <f t="shared" si="3"/>
        <v>2.9317129628907423E-2</v>
      </c>
    </row>
    <row r="76" spans="1:12" x14ac:dyDescent="0.45">
      <c r="A76" s="3" t="s">
        <v>411</v>
      </c>
      <c r="B76" s="3" t="s">
        <v>165</v>
      </c>
      <c r="C76" s="10">
        <v>45665.895833333343</v>
      </c>
      <c r="D76" s="10">
        <v>45665.898020833331</v>
      </c>
      <c r="E76" s="10">
        <v>45665.905578703707</v>
      </c>
      <c r="F76" s="10">
        <v>45665.906921296293</v>
      </c>
      <c r="G76" s="3" t="s">
        <v>412</v>
      </c>
      <c r="H76" s="10">
        <v>45665.919918981483</v>
      </c>
      <c r="I76" s="10">
        <v>45665.965208333328</v>
      </c>
      <c r="J76" s="10">
        <v>45665.966261574067</v>
      </c>
      <c r="K76" s="11">
        <f t="shared" si="2"/>
        <v>7.557870376331266E-3</v>
      </c>
      <c r="L76" s="11">
        <f t="shared" si="3"/>
        <v>5.8287037034460809E-2</v>
      </c>
    </row>
    <row r="77" spans="1:12" x14ac:dyDescent="0.45">
      <c r="A77" s="3" t="s">
        <v>414</v>
      </c>
      <c r="B77" s="3" t="s">
        <v>165</v>
      </c>
      <c r="C77" s="10">
        <v>45665.895833333343</v>
      </c>
      <c r="D77" s="10">
        <v>45665.898020833331</v>
      </c>
      <c r="E77" s="10">
        <v>45665.905578703707</v>
      </c>
      <c r="F77" s="10">
        <v>45665.906921296293</v>
      </c>
      <c r="G77" s="3" t="s">
        <v>412</v>
      </c>
      <c r="H77" s="10">
        <v>45665.919918981483</v>
      </c>
      <c r="I77" s="10">
        <v>45665.965208333328</v>
      </c>
      <c r="J77" s="10">
        <v>45665.966261574067</v>
      </c>
      <c r="K77" s="11">
        <f t="shared" si="2"/>
        <v>7.557870376331266E-3</v>
      </c>
      <c r="L77" s="11">
        <f t="shared" si="3"/>
        <v>5.8287037034460809E-2</v>
      </c>
    </row>
    <row r="78" spans="1:12" x14ac:dyDescent="0.45">
      <c r="A78" s="3" t="s">
        <v>416</v>
      </c>
      <c r="B78" s="3" t="s">
        <v>165</v>
      </c>
      <c r="C78" s="10">
        <v>45665.895833333343</v>
      </c>
      <c r="D78" s="10">
        <v>45665.898020833331</v>
      </c>
      <c r="E78" s="10">
        <v>45665.905578703707</v>
      </c>
      <c r="F78" s="10">
        <v>45665.906921296293</v>
      </c>
      <c r="G78" s="3" t="s">
        <v>412</v>
      </c>
      <c r="H78" s="10">
        <v>45665.919918981483</v>
      </c>
      <c r="I78" s="10">
        <v>45665.965208333328</v>
      </c>
      <c r="J78" s="10">
        <v>45665.966261574067</v>
      </c>
      <c r="K78" s="11">
        <f t="shared" si="2"/>
        <v>7.557870376331266E-3</v>
      </c>
      <c r="L78" s="11">
        <f t="shared" si="3"/>
        <v>5.8287037034460809E-2</v>
      </c>
    </row>
    <row r="79" spans="1:12" x14ac:dyDescent="0.45">
      <c r="A79" s="3" t="s">
        <v>418</v>
      </c>
      <c r="B79" s="3" t="s">
        <v>165</v>
      </c>
      <c r="C79" s="10">
        <v>45665.895833333343</v>
      </c>
      <c r="D79" s="10">
        <v>45665.898020833331</v>
      </c>
      <c r="E79" s="10">
        <v>45665.905578703707</v>
      </c>
      <c r="F79" s="10">
        <v>45665.906921296293</v>
      </c>
      <c r="G79" s="3" t="s">
        <v>412</v>
      </c>
      <c r="H79" s="10">
        <v>45665.919918981483</v>
      </c>
      <c r="I79" s="10">
        <v>45665.965208333328</v>
      </c>
      <c r="J79" s="10">
        <v>45665.966261574067</v>
      </c>
      <c r="K79" s="11">
        <f t="shared" si="2"/>
        <v>7.557870376331266E-3</v>
      </c>
      <c r="L79" s="11">
        <f t="shared" si="3"/>
        <v>5.8287037034460809E-2</v>
      </c>
    </row>
    <row r="80" spans="1:12" x14ac:dyDescent="0.45">
      <c r="A80" s="3" t="s">
        <v>420</v>
      </c>
      <c r="B80" s="3" t="s">
        <v>165</v>
      </c>
      <c r="C80" s="10">
        <v>45665.895833333343</v>
      </c>
      <c r="D80" s="10">
        <v>45665.898020833331</v>
      </c>
      <c r="E80" s="10">
        <v>45665.905578703707</v>
      </c>
      <c r="F80" s="10">
        <v>45665.906921296293</v>
      </c>
      <c r="G80" s="3" t="s">
        <v>412</v>
      </c>
      <c r="H80" s="10">
        <v>45665.919918981483</v>
      </c>
      <c r="I80" s="10">
        <v>45665.965208333328</v>
      </c>
      <c r="J80" s="10">
        <v>45665.966261574067</v>
      </c>
      <c r="K80" s="11">
        <f t="shared" si="2"/>
        <v>7.557870376331266E-3</v>
      </c>
      <c r="L80" s="11">
        <f t="shared" si="3"/>
        <v>5.8287037034460809E-2</v>
      </c>
    </row>
    <row r="81" spans="1:12" x14ac:dyDescent="0.45">
      <c r="A81" s="3" t="s">
        <v>422</v>
      </c>
      <c r="B81" s="3" t="s">
        <v>166</v>
      </c>
      <c r="C81" s="10">
        <v>45666.208333333343</v>
      </c>
      <c r="D81" s="10">
        <v>45666.210219907407</v>
      </c>
      <c r="E81" s="10">
        <v>45666.215590277781</v>
      </c>
      <c r="F81" s="10">
        <v>45666.216562499998</v>
      </c>
      <c r="G81" s="3" t="s">
        <v>423</v>
      </c>
      <c r="H81" s="10">
        <v>45666.243206018517</v>
      </c>
      <c r="I81" s="10">
        <v>45666.296759259261</v>
      </c>
      <c r="J81" s="10">
        <v>45666.29755787037</v>
      </c>
      <c r="K81" s="11">
        <f t="shared" si="2"/>
        <v>5.3703703742939979E-3</v>
      </c>
      <c r="L81" s="11">
        <f t="shared" si="3"/>
        <v>8.0196759263344575E-2</v>
      </c>
    </row>
    <row r="82" spans="1:12" x14ac:dyDescent="0.45">
      <c r="A82" s="3" t="s">
        <v>425</v>
      </c>
      <c r="B82" s="3" t="s">
        <v>166</v>
      </c>
      <c r="C82" s="10">
        <v>45666.208333333343</v>
      </c>
      <c r="D82" s="10">
        <v>45666.210219907407</v>
      </c>
      <c r="E82" s="10">
        <v>45666.215590277781</v>
      </c>
      <c r="F82" s="10">
        <v>45666.216562499998</v>
      </c>
      <c r="G82" s="3" t="s">
        <v>423</v>
      </c>
      <c r="H82" s="10">
        <v>45666.243206018517</v>
      </c>
      <c r="I82" s="10">
        <v>45666.296759259261</v>
      </c>
      <c r="J82" s="10">
        <v>45666.29755787037</v>
      </c>
      <c r="K82" s="11">
        <f t="shared" si="2"/>
        <v>5.3703703742939979E-3</v>
      </c>
      <c r="L82" s="11">
        <f t="shared" si="3"/>
        <v>8.0196759263344575E-2</v>
      </c>
    </row>
    <row r="83" spans="1:12" x14ac:dyDescent="0.45">
      <c r="A83" s="3" t="s">
        <v>427</v>
      </c>
      <c r="B83" s="3" t="s">
        <v>166</v>
      </c>
      <c r="C83" s="10">
        <v>45666.208333333343</v>
      </c>
      <c r="D83" s="10">
        <v>45666.210219907407</v>
      </c>
      <c r="E83" s="10">
        <v>45666.216562499998</v>
      </c>
      <c r="F83" s="10">
        <v>45666.217465277783</v>
      </c>
      <c r="G83" s="3" t="s">
        <v>428</v>
      </c>
      <c r="H83" s="10">
        <v>45666.269976851851</v>
      </c>
      <c r="I83" s="10">
        <v>45666.323773148149</v>
      </c>
      <c r="J83" s="10">
        <v>45666.32476851852</v>
      </c>
      <c r="K83" s="11">
        <f t="shared" si="2"/>
        <v>6.3425925909541547E-3</v>
      </c>
      <c r="L83" s="11">
        <f t="shared" si="3"/>
        <v>0.10630787036643596</v>
      </c>
    </row>
    <row r="84" spans="1:12" x14ac:dyDescent="0.45">
      <c r="A84" s="3" t="s">
        <v>430</v>
      </c>
      <c r="B84" s="3" t="s">
        <v>167</v>
      </c>
      <c r="C84" s="10">
        <v>45666.214583333327</v>
      </c>
      <c r="D84" s="10">
        <v>45666.216145833343</v>
      </c>
      <c r="E84" s="10">
        <v>45666.22216435185</v>
      </c>
      <c r="F84" s="10">
        <v>45666.223877314813</v>
      </c>
      <c r="G84" s="3" t="s">
        <v>431</v>
      </c>
      <c r="H84" s="10">
        <v>45666.238599537042</v>
      </c>
      <c r="I84" s="10">
        <v>45666.27002314815</v>
      </c>
      <c r="J84" s="10">
        <v>45666.270925925928</v>
      </c>
      <c r="K84" s="11">
        <f t="shared" si="2"/>
        <v>6.0185185066075064E-3</v>
      </c>
      <c r="L84" s="11">
        <f t="shared" si="3"/>
        <v>4.6145833337504882E-2</v>
      </c>
    </row>
    <row r="85" spans="1:12" x14ac:dyDescent="0.45">
      <c r="A85" s="3" t="s">
        <v>433</v>
      </c>
      <c r="B85" s="3" t="s">
        <v>167</v>
      </c>
      <c r="C85" s="10">
        <v>45666.214583333327</v>
      </c>
      <c r="D85" s="10">
        <v>45666.216145833343</v>
      </c>
      <c r="E85" s="10">
        <v>45666.22216435185</v>
      </c>
      <c r="F85" s="10">
        <v>45666.223877314813</v>
      </c>
      <c r="G85" s="3" t="s">
        <v>431</v>
      </c>
      <c r="H85" s="10">
        <v>45666.238599537042</v>
      </c>
      <c r="I85" s="10">
        <v>45666.27002314815</v>
      </c>
      <c r="J85" s="10">
        <v>45666.270925925928</v>
      </c>
      <c r="K85" s="11">
        <f t="shared" si="2"/>
        <v>6.0185185066075064E-3</v>
      </c>
      <c r="L85" s="11">
        <f t="shared" si="3"/>
        <v>4.6145833337504882E-2</v>
      </c>
    </row>
    <row r="86" spans="1:12" x14ac:dyDescent="0.45">
      <c r="A86" s="3" t="s">
        <v>435</v>
      </c>
      <c r="B86" s="3" t="s">
        <v>167</v>
      </c>
      <c r="C86" s="10">
        <v>45666.214583333327</v>
      </c>
      <c r="D86" s="10">
        <v>45666.216145833343</v>
      </c>
      <c r="E86" s="10">
        <v>45666.22216435185</v>
      </c>
      <c r="F86" s="10">
        <v>45666.223877314813</v>
      </c>
      <c r="G86" s="3" t="s">
        <v>431</v>
      </c>
      <c r="H86" s="10">
        <v>45666.238599537042</v>
      </c>
      <c r="I86" s="10">
        <v>45666.27002314815</v>
      </c>
      <c r="J86" s="10">
        <v>45666.270925925928</v>
      </c>
      <c r="K86" s="11">
        <f t="shared" si="2"/>
        <v>6.0185185066075064E-3</v>
      </c>
      <c r="L86" s="11">
        <f t="shared" si="3"/>
        <v>4.6145833337504882E-2</v>
      </c>
    </row>
    <row r="87" spans="1:12" x14ac:dyDescent="0.45">
      <c r="A87" s="3" t="s">
        <v>437</v>
      </c>
      <c r="B87" s="3" t="s">
        <v>168</v>
      </c>
      <c r="C87" s="10">
        <v>45666.22152777778</v>
      </c>
      <c r="D87" s="10">
        <v>45666.223530092589</v>
      </c>
      <c r="E87" s="10">
        <v>45666.234907407408</v>
      </c>
      <c r="F87" s="10">
        <v>45666.235775462963</v>
      </c>
      <c r="G87" s="3" t="s">
        <v>423</v>
      </c>
      <c r="H87" s="10">
        <v>45666.243206018517</v>
      </c>
      <c r="I87" s="10">
        <v>45666.296759259261</v>
      </c>
      <c r="J87" s="10">
        <v>45666.29755787037</v>
      </c>
      <c r="K87" s="11">
        <f t="shared" si="2"/>
        <v>1.1377314818673767E-2</v>
      </c>
      <c r="L87" s="11">
        <f t="shared" si="3"/>
        <v>6.098379629838746E-2</v>
      </c>
    </row>
    <row r="88" spans="1:12" x14ac:dyDescent="0.45">
      <c r="A88" s="3" t="s">
        <v>439</v>
      </c>
      <c r="B88" s="3" t="s">
        <v>168</v>
      </c>
      <c r="C88" s="10">
        <v>45666.22152777778</v>
      </c>
      <c r="D88" s="10">
        <v>45666.223530092589</v>
      </c>
      <c r="E88" s="10">
        <v>45666.235775462963</v>
      </c>
      <c r="F88" s="10">
        <v>45666.237013888887</v>
      </c>
      <c r="G88" s="3" t="s">
        <v>440</v>
      </c>
      <c r="H88" s="10">
        <v>45666.264606481483</v>
      </c>
      <c r="I88" s="10">
        <v>45666.316666666673</v>
      </c>
      <c r="J88" s="10">
        <v>45666.317777777767</v>
      </c>
      <c r="K88" s="11">
        <f t="shared" si="2"/>
        <v>1.2245370373420883E-2</v>
      </c>
      <c r="L88" s="11">
        <f t="shared" si="3"/>
        <v>7.965277778566815E-2</v>
      </c>
    </row>
    <row r="89" spans="1:12" x14ac:dyDescent="0.45">
      <c r="A89" s="3" t="s">
        <v>442</v>
      </c>
      <c r="B89" s="3" t="s">
        <v>168</v>
      </c>
      <c r="C89" s="10">
        <v>45666.22152777778</v>
      </c>
      <c r="D89" s="10">
        <v>45666.223530092589</v>
      </c>
      <c r="E89" s="10">
        <v>45666.237013888887</v>
      </c>
      <c r="F89" s="10">
        <v>45666.238368055558</v>
      </c>
      <c r="G89" s="3" t="s">
        <v>351</v>
      </c>
      <c r="H89" s="10">
        <v>45667.337592592587</v>
      </c>
      <c r="I89" s="10">
        <v>45667.360682870371</v>
      </c>
      <c r="J89" s="10">
        <v>45667.361377314817</v>
      </c>
      <c r="K89" s="11">
        <f t="shared" si="2"/>
        <v>1.3483796297805384E-2</v>
      </c>
      <c r="L89" s="11">
        <f t="shared" si="3"/>
        <v>1.122314814812853</v>
      </c>
    </row>
    <row r="90" spans="1:12" x14ac:dyDescent="0.45">
      <c r="A90" s="3" t="s">
        <v>444</v>
      </c>
      <c r="B90" s="3" t="s">
        <v>168</v>
      </c>
      <c r="C90" s="10">
        <v>45666.22152777778</v>
      </c>
      <c r="D90" s="10">
        <v>45666.223530092589</v>
      </c>
      <c r="E90" s="10">
        <v>45666.238368055558</v>
      </c>
      <c r="F90" s="10">
        <v>45666.239571759259</v>
      </c>
      <c r="G90" s="3" t="s">
        <v>440</v>
      </c>
      <c r="H90" s="10">
        <v>45666.264606481483</v>
      </c>
      <c r="I90" s="10">
        <v>45666.316666666673</v>
      </c>
      <c r="J90" s="10">
        <v>45666.317777777767</v>
      </c>
      <c r="K90" s="11">
        <f t="shared" si="2"/>
        <v>1.4837962968158536E-2</v>
      </c>
      <c r="L90" s="11">
        <f t="shared" si="3"/>
        <v>7.7094907413993496E-2</v>
      </c>
    </row>
    <row r="91" spans="1:12" x14ac:dyDescent="0.45">
      <c r="A91" s="3" t="s">
        <v>446</v>
      </c>
      <c r="B91" s="3" t="s">
        <v>169</v>
      </c>
      <c r="C91" s="10">
        <v>45666.227777777778</v>
      </c>
      <c r="D91" s="10">
        <v>45666.229409722233</v>
      </c>
      <c r="E91" s="10">
        <v>45666.240439814806</v>
      </c>
      <c r="F91" s="10">
        <v>45666.241724537038</v>
      </c>
      <c r="G91" s="3" t="s">
        <v>428</v>
      </c>
      <c r="H91" s="10">
        <v>45666.269976851851</v>
      </c>
      <c r="I91" s="10">
        <v>45666.323773148149</v>
      </c>
      <c r="J91" s="10">
        <v>45666.32476851852</v>
      </c>
      <c r="K91" s="11">
        <f t="shared" si="2"/>
        <v>1.1030092573491856E-2</v>
      </c>
      <c r="L91" s="11">
        <f t="shared" si="3"/>
        <v>8.20486111115315E-2</v>
      </c>
    </row>
    <row r="92" spans="1:12" x14ac:dyDescent="0.45">
      <c r="A92" s="3" t="s">
        <v>448</v>
      </c>
      <c r="B92" s="3" t="s">
        <v>169</v>
      </c>
      <c r="C92" s="10">
        <v>45666.227777777778</v>
      </c>
      <c r="D92" s="10">
        <v>45666.229409722233</v>
      </c>
      <c r="E92" s="10">
        <v>45666.240439814806</v>
      </c>
      <c r="F92" s="10">
        <v>45666.241724537038</v>
      </c>
      <c r="G92" s="3" t="s">
        <v>428</v>
      </c>
      <c r="H92" s="10">
        <v>45666.269976851851</v>
      </c>
      <c r="I92" s="10">
        <v>45666.323773148149</v>
      </c>
      <c r="J92" s="10">
        <v>45666.32476851852</v>
      </c>
      <c r="K92" s="11">
        <f t="shared" si="2"/>
        <v>1.1030092573491856E-2</v>
      </c>
      <c r="L92" s="11">
        <f t="shared" si="3"/>
        <v>8.20486111115315E-2</v>
      </c>
    </row>
    <row r="93" spans="1:12" x14ac:dyDescent="0.45">
      <c r="A93" s="3" t="s">
        <v>450</v>
      </c>
      <c r="B93" s="3" t="s">
        <v>169</v>
      </c>
      <c r="C93" s="10">
        <v>45666.227777777778</v>
      </c>
      <c r="D93" s="10">
        <v>45666.229409722233</v>
      </c>
      <c r="E93" s="10">
        <v>45666.240439814806</v>
      </c>
      <c r="F93" s="10">
        <v>45666.241724537038</v>
      </c>
      <c r="G93" s="3" t="s">
        <v>428</v>
      </c>
      <c r="H93" s="10">
        <v>45666.269976851851</v>
      </c>
      <c r="I93" s="10">
        <v>45666.323773148149</v>
      </c>
      <c r="J93" s="10">
        <v>45666.32476851852</v>
      </c>
      <c r="K93" s="11">
        <f t="shared" si="2"/>
        <v>1.1030092573491856E-2</v>
      </c>
      <c r="L93" s="11">
        <f t="shared" si="3"/>
        <v>8.20486111115315E-2</v>
      </c>
    </row>
    <row r="94" spans="1:12" x14ac:dyDescent="0.45">
      <c r="A94" s="3" t="s">
        <v>452</v>
      </c>
      <c r="B94" s="3" t="s">
        <v>169</v>
      </c>
      <c r="C94" s="10">
        <v>45666.227777777778</v>
      </c>
      <c r="D94" s="10">
        <v>45666.229409722233</v>
      </c>
      <c r="E94" s="10">
        <v>45666.240439814806</v>
      </c>
      <c r="F94" s="10">
        <v>45666.241724537038</v>
      </c>
      <c r="G94" s="3" t="s">
        <v>428</v>
      </c>
      <c r="H94" s="10">
        <v>45666.269976851851</v>
      </c>
      <c r="I94" s="10">
        <v>45666.323773148149</v>
      </c>
      <c r="J94" s="10">
        <v>45666.32476851852</v>
      </c>
      <c r="K94" s="11">
        <f t="shared" si="2"/>
        <v>1.1030092573491856E-2</v>
      </c>
      <c r="L94" s="11">
        <f t="shared" si="3"/>
        <v>8.20486111115315E-2</v>
      </c>
    </row>
    <row r="95" spans="1:12" x14ac:dyDescent="0.45">
      <c r="A95" s="3" t="s">
        <v>454</v>
      </c>
      <c r="B95" s="3" t="s">
        <v>170</v>
      </c>
      <c r="C95" s="10">
        <v>45666.231249999997</v>
      </c>
      <c r="D95" s="10">
        <v>45666.232569444437</v>
      </c>
      <c r="E95" s="10">
        <v>45666.242592592593</v>
      </c>
      <c r="F95" s="10">
        <v>45666.243958333333</v>
      </c>
      <c r="G95" s="3" t="s">
        <v>440</v>
      </c>
      <c r="H95" s="10">
        <v>45666.264606481483</v>
      </c>
      <c r="I95" s="10">
        <v>45666.316666666673</v>
      </c>
      <c r="J95" s="10">
        <v>45666.317777777767</v>
      </c>
      <c r="K95" s="11">
        <f t="shared" si="2"/>
        <v>1.0023148155596573E-2</v>
      </c>
      <c r="L95" s="11">
        <f t="shared" si="3"/>
        <v>7.2708333340415265E-2</v>
      </c>
    </row>
    <row r="96" spans="1:12" x14ac:dyDescent="0.45">
      <c r="A96" s="3" t="s">
        <v>456</v>
      </c>
      <c r="B96" s="3" t="s">
        <v>170</v>
      </c>
      <c r="C96" s="10">
        <v>45666.231249999997</v>
      </c>
      <c r="D96" s="10">
        <v>45666.232569444437</v>
      </c>
      <c r="E96" s="10">
        <v>45666.242592592593</v>
      </c>
      <c r="F96" s="10">
        <v>45666.243958333333</v>
      </c>
      <c r="G96" s="3" t="s">
        <v>440</v>
      </c>
      <c r="H96" s="10">
        <v>45666.264606481483</v>
      </c>
      <c r="I96" s="10">
        <v>45666.316666666673</v>
      </c>
      <c r="J96" s="10">
        <v>45666.317777777767</v>
      </c>
      <c r="K96" s="11">
        <f t="shared" si="2"/>
        <v>1.0023148155596573E-2</v>
      </c>
      <c r="L96" s="11">
        <f t="shared" si="3"/>
        <v>7.2708333340415265E-2</v>
      </c>
    </row>
    <row r="97" spans="1:12" x14ac:dyDescent="0.45">
      <c r="A97" s="3" t="s">
        <v>458</v>
      </c>
      <c r="B97" s="3" t="s">
        <v>170</v>
      </c>
      <c r="C97" s="10">
        <v>45666.231249999997</v>
      </c>
      <c r="D97" s="10">
        <v>45666.232569444437</v>
      </c>
      <c r="E97" s="10">
        <v>45666.242592592593</v>
      </c>
      <c r="F97" s="10">
        <v>45666.243958333333</v>
      </c>
      <c r="G97" s="3" t="s">
        <v>440</v>
      </c>
      <c r="H97" s="10">
        <v>45666.264606481483</v>
      </c>
      <c r="I97" s="10">
        <v>45666.316666666673</v>
      </c>
      <c r="J97" s="10">
        <v>45666.317777777767</v>
      </c>
      <c r="K97" s="11">
        <f t="shared" si="2"/>
        <v>1.0023148155596573E-2</v>
      </c>
      <c r="L97" s="11">
        <f t="shared" si="3"/>
        <v>7.2708333340415265E-2</v>
      </c>
    </row>
    <row r="98" spans="1:12" x14ac:dyDescent="0.45">
      <c r="A98" s="3" t="s">
        <v>460</v>
      </c>
      <c r="B98" s="3" t="s">
        <v>172</v>
      </c>
      <c r="C98" s="10">
        <v>45666.234722222223</v>
      </c>
      <c r="D98" s="10">
        <v>45666.235844907409</v>
      </c>
      <c r="E98" s="10">
        <v>45666.244826388887</v>
      </c>
      <c r="F98" s="10">
        <v>45666.246157407397</v>
      </c>
      <c r="G98" s="3" t="s">
        <v>461</v>
      </c>
      <c r="H98" s="10">
        <v>45666.572048611109</v>
      </c>
      <c r="I98" s="10">
        <v>45666.603321759263</v>
      </c>
      <c r="J98" s="10">
        <v>45666.604201388887</v>
      </c>
      <c r="K98" s="11">
        <f t="shared" si="2"/>
        <v>8.9814814782585017E-3</v>
      </c>
      <c r="L98" s="11">
        <f t="shared" si="3"/>
        <v>0.3571643518662313</v>
      </c>
    </row>
    <row r="99" spans="1:12" x14ac:dyDescent="0.45">
      <c r="A99" s="3" t="s">
        <v>463</v>
      </c>
      <c r="B99" s="3" t="s">
        <v>172</v>
      </c>
      <c r="C99" s="10">
        <v>45666.234722222223</v>
      </c>
      <c r="D99" s="10">
        <v>45666.235844907409</v>
      </c>
      <c r="E99" s="10">
        <v>45666.244826388887</v>
      </c>
      <c r="F99" s="10">
        <v>45666.246157407397</v>
      </c>
      <c r="G99" s="3" t="s">
        <v>461</v>
      </c>
      <c r="H99" s="10">
        <v>45666.572048611109</v>
      </c>
      <c r="I99" s="10">
        <v>45666.603321759263</v>
      </c>
      <c r="J99" s="10">
        <v>45666.604201388887</v>
      </c>
      <c r="K99" s="11">
        <f t="shared" si="2"/>
        <v>8.9814814782585017E-3</v>
      </c>
      <c r="L99" s="11">
        <f t="shared" si="3"/>
        <v>0.3571643518662313</v>
      </c>
    </row>
    <row r="100" spans="1:12" x14ac:dyDescent="0.45">
      <c r="A100" s="3" t="s">
        <v>465</v>
      </c>
      <c r="B100" s="3" t="s">
        <v>172</v>
      </c>
      <c r="C100" s="10">
        <v>45666.234722222223</v>
      </c>
      <c r="D100" s="10">
        <v>45666.235844907409</v>
      </c>
      <c r="E100" s="10">
        <v>45666.244826388887</v>
      </c>
      <c r="F100" s="10">
        <v>45666.246157407397</v>
      </c>
      <c r="G100" s="3" t="s">
        <v>461</v>
      </c>
      <c r="H100" s="10">
        <v>45666.572048611109</v>
      </c>
      <c r="I100" s="10">
        <v>45666.603321759263</v>
      </c>
      <c r="J100" s="10">
        <v>45666.604201388887</v>
      </c>
      <c r="K100" s="11">
        <f t="shared" si="2"/>
        <v>8.9814814782585017E-3</v>
      </c>
      <c r="L100" s="11">
        <f t="shared" si="3"/>
        <v>0.3571643518662313</v>
      </c>
    </row>
    <row r="101" spans="1:12" x14ac:dyDescent="0.45">
      <c r="A101" s="3" t="s">
        <v>467</v>
      </c>
      <c r="B101" s="3" t="s">
        <v>174</v>
      </c>
      <c r="C101" s="10">
        <v>45666.239583333343</v>
      </c>
      <c r="D101" s="10">
        <v>45666.241539351853</v>
      </c>
      <c r="E101" s="10">
        <v>45666.247800925928</v>
      </c>
      <c r="F101" s="10">
        <v>45666.24931712963</v>
      </c>
      <c r="G101" s="3" t="s">
        <v>468</v>
      </c>
      <c r="H101" s="10">
        <v>45666.280486111107</v>
      </c>
      <c r="I101" s="10">
        <v>45666.346134259264</v>
      </c>
      <c r="J101" s="10">
        <v>45666.347048611111</v>
      </c>
      <c r="K101" s="11">
        <f t="shared" si="2"/>
        <v>6.2615740753244609E-3</v>
      </c>
      <c r="L101" s="11">
        <f t="shared" si="3"/>
        <v>9.6817129633564036E-2</v>
      </c>
    </row>
    <row r="102" spans="1:12" x14ac:dyDescent="0.45">
      <c r="A102" s="3" t="s">
        <v>470</v>
      </c>
      <c r="B102" s="3" t="s">
        <v>174</v>
      </c>
      <c r="C102" s="10">
        <v>45666.239583333343</v>
      </c>
      <c r="D102" s="10">
        <v>45666.241539351853</v>
      </c>
      <c r="E102" s="10">
        <v>45666.247800925928</v>
      </c>
      <c r="F102" s="10">
        <v>45666.24931712963</v>
      </c>
      <c r="G102" s="3" t="s">
        <v>468</v>
      </c>
      <c r="H102" s="10">
        <v>45666.280486111107</v>
      </c>
      <c r="I102" s="10">
        <v>45666.346134259264</v>
      </c>
      <c r="J102" s="10">
        <v>45666.347048611111</v>
      </c>
      <c r="K102" s="11">
        <f t="shared" si="2"/>
        <v>6.2615740753244609E-3</v>
      </c>
      <c r="L102" s="11">
        <f t="shared" si="3"/>
        <v>9.6817129633564036E-2</v>
      </c>
    </row>
    <row r="103" spans="1:12" x14ac:dyDescent="0.45">
      <c r="A103" s="3" t="s">
        <v>472</v>
      </c>
      <c r="B103" s="3" t="s">
        <v>174</v>
      </c>
      <c r="C103" s="10">
        <v>45666.239583333343</v>
      </c>
      <c r="D103" s="10">
        <v>45666.241539351853</v>
      </c>
      <c r="E103" s="10">
        <v>45666.247800925928</v>
      </c>
      <c r="F103" s="10">
        <v>45666.24931712963</v>
      </c>
      <c r="G103" s="3" t="s">
        <v>468</v>
      </c>
      <c r="H103" s="10">
        <v>45666.280486111107</v>
      </c>
      <c r="I103" s="10">
        <v>45666.346134259264</v>
      </c>
      <c r="J103" s="10">
        <v>45666.347048611111</v>
      </c>
      <c r="K103" s="11">
        <f t="shared" si="2"/>
        <v>6.2615740753244609E-3</v>
      </c>
      <c r="L103" s="11">
        <f t="shared" si="3"/>
        <v>9.6817129633564036E-2</v>
      </c>
    </row>
    <row r="104" spans="1:12" x14ac:dyDescent="0.45">
      <c r="A104" s="3" t="s">
        <v>474</v>
      </c>
      <c r="B104" s="3" t="s">
        <v>175</v>
      </c>
      <c r="C104" s="10">
        <v>45666.244444444441</v>
      </c>
      <c r="D104" s="10">
        <v>45666.246006944442</v>
      </c>
      <c r="E104" s="10">
        <v>45666.254710648151</v>
      </c>
      <c r="F104" s="10">
        <v>45666.255925925929</v>
      </c>
      <c r="G104" s="3" t="s">
        <v>475</v>
      </c>
      <c r="H104" s="10">
        <v>45666.278877314813</v>
      </c>
      <c r="I104" s="10">
        <v>45666.320717592593</v>
      </c>
      <c r="J104" s="10">
        <v>45666.321608796286</v>
      </c>
      <c r="K104" s="11">
        <f t="shared" si="2"/>
        <v>8.7037037083064206E-3</v>
      </c>
      <c r="L104" s="11">
        <f t="shared" si="3"/>
        <v>6.4791666663950309E-2</v>
      </c>
    </row>
    <row r="105" spans="1:12" x14ac:dyDescent="0.45">
      <c r="A105" s="3" t="s">
        <v>477</v>
      </c>
      <c r="B105" s="3" t="s">
        <v>175</v>
      </c>
      <c r="C105" s="10">
        <v>45666.244444444441</v>
      </c>
      <c r="D105" s="10">
        <v>45666.246006944442</v>
      </c>
      <c r="E105" s="10">
        <v>45666.255925925929</v>
      </c>
      <c r="F105" s="10">
        <v>45666.257152777784</v>
      </c>
      <c r="G105" s="3" t="s">
        <v>478</v>
      </c>
      <c r="H105" s="10">
        <v>45667.703483796293</v>
      </c>
      <c r="I105" s="10">
        <v>45667.732048611113</v>
      </c>
      <c r="J105" s="10">
        <v>45667.732928240737</v>
      </c>
      <c r="K105" s="11">
        <f t="shared" si="2"/>
        <v>9.9189814864075743E-3</v>
      </c>
      <c r="L105" s="11">
        <f t="shared" si="3"/>
        <v>1.4748958333293558</v>
      </c>
    </row>
    <row r="106" spans="1:12" x14ac:dyDescent="0.45">
      <c r="A106" s="3" t="s">
        <v>480</v>
      </c>
      <c r="B106" s="3" t="s">
        <v>175</v>
      </c>
      <c r="C106" s="10">
        <v>45666.244444444441</v>
      </c>
      <c r="D106" s="10">
        <v>45666.246006944442</v>
      </c>
      <c r="E106" s="10">
        <v>45666.257152777784</v>
      </c>
      <c r="F106" s="10">
        <v>45666.258287037039</v>
      </c>
      <c r="G106" s="3" t="s">
        <v>475</v>
      </c>
      <c r="H106" s="10">
        <v>45666.278877314813</v>
      </c>
      <c r="I106" s="10">
        <v>45666.320717592593</v>
      </c>
      <c r="J106" s="10">
        <v>45666.321608796286</v>
      </c>
      <c r="K106" s="11">
        <f t="shared" si="2"/>
        <v>1.114583334128838E-2</v>
      </c>
      <c r="L106" s="11">
        <f t="shared" si="3"/>
        <v>6.2430555553874001E-2</v>
      </c>
    </row>
    <row r="107" spans="1:12" x14ac:dyDescent="0.45">
      <c r="A107" s="3" t="s">
        <v>482</v>
      </c>
      <c r="B107" s="3" t="s">
        <v>176</v>
      </c>
      <c r="C107" s="10">
        <v>45666.458333333343</v>
      </c>
      <c r="D107" s="10">
        <v>45666.460335648153</v>
      </c>
      <c r="E107" s="10">
        <v>45666.466423611113</v>
      </c>
      <c r="F107" s="10">
        <v>45666.468043981477</v>
      </c>
      <c r="G107" s="3" t="s">
        <v>483</v>
      </c>
      <c r="H107" s="10">
        <v>45666.475416666668</v>
      </c>
      <c r="I107" s="10">
        <v>45666.499282407407</v>
      </c>
      <c r="J107" s="10">
        <v>45666.500081018523</v>
      </c>
      <c r="K107" s="11">
        <f t="shared" si="2"/>
        <v>6.0879629600094631E-3</v>
      </c>
      <c r="L107" s="11">
        <f t="shared" si="3"/>
        <v>3.1238425930496305E-2</v>
      </c>
    </row>
    <row r="108" spans="1:12" x14ac:dyDescent="0.45">
      <c r="A108" s="3" t="s">
        <v>485</v>
      </c>
      <c r="B108" s="3" t="s">
        <v>176</v>
      </c>
      <c r="C108" s="10">
        <v>45666.458333333343</v>
      </c>
      <c r="D108" s="10">
        <v>45666.460335648153</v>
      </c>
      <c r="E108" s="10">
        <v>45666.466423611113</v>
      </c>
      <c r="F108" s="10">
        <v>45666.468043981477</v>
      </c>
      <c r="G108" s="3" t="s">
        <v>483</v>
      </c>
      <c r="H108" s="10">
        <v>45666.475416666668</v>
      </c>
      <c r="I108" s="10">
        <v>45666.499282407407</v>
      </c>
      <c r="J108" s="10">
        <v>45666.500081018523</v>
      </c>
      <c r="K108" s="11">
        <f t="shared" si="2"/>
        <v>6.0879629600094631E-3</v>
      </c>
      <c r="L108" s="11">
        <f t="shared" si="3"/>
        <v>3.1238425930496305E-2</v>
      </c>
    </row>
    <row r="109" spans="1:12" x14ac:dyDescent="0.45">
      <c r="A109" s="3" t="s">
        <v>487</v>
      </c>
      <c r="B109" s="3" t="s">
        <v>176</v>
      </c>
      <c r="C109" s="10">
        <v>45666.458333333343</v>
      </c>
      <c r="D109" s="10">
        <v>45666.460335648153</v>
      </c>
      <c r="E109" s="10">
        <v>45666.466423611113</v>
      </c>
      <c r="F109" s="10">
        <v>45666.468043981477</v>
      </c>
      <c r="G109" s="3" t="s">
        <v>483</v>
      </c>
      <c r="H109" s="10">
        <v>45666.475416666668</v>
      </c>
      <c r="I109" s="10">
        <v>45666.499282407407</v>
      </c>
      <c r="J109" s="10">
        <v>45666.500081018523</v>
      </c>
      <c r="K109" s="11">
        <f t="shared" si="2"/>
        <v>6.0879629600094631E-3</v>
      </c>
      <c r="L109" s="11">
        <f t="shared" si="3"/>
        <v>3.1238425930496305E-2</v>
      </c>
    </row>
    <row r="110" spans="1:12" x14ac:dyDescent="0.45">
      <c r="A110" s="3" t="s">
        <v>489</v>
      </c>
      <c r="B110" s="3" t="s">
        <v>176</v>
      </c>
      <c r="C110" s="10">
        <v>45666.458333333343</v>
      </c>
      <c r="D110" s="10">
        <v>45666.460335648153</v>
      </c>
      <c r="E110" s="10">
        <v>45666.468043981477</v>
      </c>
      <c r="F110" s="10">
        <v>45666.468912037039</v>
      </c>
      <c r="G110" s="3" t="s">
        <v>490</v>
      </c>
      <c r="H110" s="10">
        <v>45666.484537037039</v>
      </c>
      <c r="I110" s="10">
        <v>45666.521516203713</v>
      </c>
      <c r="J110" s="10">
        <v>45666.522465277783</v>
      </c>
      <c r="K110" s="11">
        <f t="shared" si="2"/>
        <v>7.7083333235350437E-3</v>
      </c>
      <c r="L110" s="11">
        <f t="shared" si="3"/>
        <v>5.2604166674427688E-2</v>
      </c>
    </row>
    <row r="111" spans="1:12" x14ac:dyDescent="0.45">
      <c r="A111" s="3" t="s">
        <v>492</v>
      </c>
      <c r="B111" s="3" t="s">
        <v>177</v>
      </c>
      <c r="C111" s="10">
        <v>45666.458333333343</v>
      </c>
      <c r="D111" s="10">
        <v>45666.459930555553</v>
      </c>
      <c r="E111" s="10">
        <v>45666.469780092593</v>
      </c>
      <c r="F111" s="10">
        <v>45666.470613425918</v>
      </c>
      <c r="G111" s="3" t="s">
        <v>490</v>
      </c>
      <c r="H111" s="10">
        <v>45666.484537037039</v>
      </c>
      <c r="I111" s="10">
        <v>45666.521516203713</v>
      </c>
      <c r="J111" s="10">
        <v>45666.522465277783</v>
      </c>
      <c r="K111" s="11">
        <f t="shared" si="2"/>
        <v>9.8495370402815752E-3</v>
      </c>
      <c r="L111" s="11">
        <f t="shared" si="3"/>
        <v>5.0902777795272414E-2</v>
      </c>
    </row>
    <row r="112" spans="1:12" x14ac:dyDescent="0.45">
      <c r="A112" s="3" t="s">
        <v>494</v>
      </c>
      <c r="B112" s="3" t="s">
        <v>177</v>
      </c>
      <c r="C112" s="10">
        <v>45666.458333333343</v>
      </c>
      <c r="D112" s="10">
        <v>45666.459930555553</v>
      </c>
      <c r="E112" s="10">
        <v>45666.470613425918</v>
      </c>
      <c r="F112" s="10">
        <v>45666.471504629633</v>
      </c>
      <c r="G112" s="3" t="s">
        <v>495</v>
      </c>
      <c r="H112" s="10">
        <v>45666.575972222221</v>
      </c>
      <c r="I112" s="10">
        <v>45666.623888888891</v>
      </c>
      <c r="J112" s="10">
        <v>45666.624583333331</v>
      </c>
      <c r="K112" s="11">
        <f t="shared" si="2"/>
        <v>1.0682870364689734E-2</v>
      </c>
      <c r="L112" s="11">
        <f t="shared" si="3"/>
        <v>0.15238425925781485</v>
      </c>
    </row>
    <row r="113" spans="1:12" x14ac:dyDescent="0.45">
      <c r="A113" s="3" t="s">
        <v>497</v>
      </c>
      <c r="B113" s="3" t="s">
        <v>177</v>
      </c>
      <c r="C113" s="10">
        <v>45666.458333333343</v>
      </c>
      <c r="D113" s="10">
        <v>45666.459930555553</v>
      </c>
      <c r="E113" s="10">
        <v>45666.471504629633</v>
      </c>
      <c r="F113" s="10">
        <v>45666.472488425927</v>
      </c>
      <c r="G113" s="3" t="s">
        <v>490</v>
      </c>
      <c r="H113" s="10">
        <v>45666.484537037039</v>
      </c>
      <c r="I113" s="10">
        <v>45666.521516203713</v>
      </c>
      <c r="J113" s="10">
        <v>45666.522465277783</v>
      </c>
      <c r="K113" s="11">
        <f t="shared" si="2"/>
        <v>1.1574074080272112E-2</v>
      </c>
      <c r="L113" s="11">
        <f t="shared" si="3"/>
        <v>4.9027777786250226E-2</v>
      </c>
    </row>
    <row r="114" spans="1:12" x14ac:dyDescent="0.45">
      <c r="A114" s="3" t="s">
        <v>499</v>
      </c>
      <c r="B114" s="3" t="s">
        <v>177</v>
      </c>
      <c r="C114" s="10">
        <v>45666.458333333343</v>
      </c>
      <c r="D114" s="10">
        <v>45666.459930555553</v>
      </c>
      <c r="E114" s="10">
        <v>45666.471504629633</v>
      </c>
      <c r="F114" s="10">
        <v>45666.472488425927</v>
      </c>
      <c r="G114" s="3" t="s">
        <v>490</v>
      </c>
      <c r="H114" s="10">
        <v>45666.484537037039</v>
      </c>
      <c r="I114" s="10">
        <v>45666.521516203713</v>
      </c>
      <c r="J114" s="10">
        <v>45666.522465277783</v>
      </c>
      <c r="K114" s="11">
        <f t="shared" si="2"/>
        <v>1.1574074080272112E-2</v>
      </c>
      <c r="L114" s="11">
        <f t="shared" si="3"/>
        <v>4.9027777786250226E-2</v>
      </c>
    </row>
    <row r="115" spans="1:12" x14ac:dyDescent="0.45">
      <c r="A115" s="3" t="s">
        <v>501</v>
      </c>
      <c r="B115" s="3" t="s">
        <v>178</v>
      </c>
      <c r="C115" s="10">
        <v>45666.541666666657</v>
      </c>
      <c r="D115" s="10">
        <v>45666.543923611112</v>
      </c>
      <c r="E115" s="10">
        <v>45666.551319444443</v>
      </c>
      <c r="F115" s="10">
        <v>45666.552245370367</v>
      </c>
      <c r="G115" s="3" t="s">
        <v>502</v>
      </c>
      <c r="H115" s="10">
        <v>45666.570324074077</v>
      </c>
      <c r="I115" s="10">
        <v>45666.604201388887</v>
      </c>
      <c r="J115" s="10">
        <v>45666.605081018519</v>
      </c>
      <c r="K115" s="11">
        <f t="shared" si="2"/>
        <v>7.3958333305199631E-3</v>
      </c>
      <c r="L115" s="11">
        <f t="shared" si="3"/>
        <v>5.1956018520286307E-2</v>
      </c>
    </row>
    <row r="116" spans="1:12" x14ac:dyDescent="0.45">
      <c r="A116" s="3" t="s">
        <v>504</v>
      </c>
      <c r="B116" s="3" t="s">
        <v>178</v>
      </c>
      <c r="C116" s="10">
        <v>45666.541666666657</v>
      </c>
      <c r="D116" s="10">
        <v>45666.543923611112</v>
      </c>
      <c r="E116" s="10">
        <v>45666.551319444443</v>
      </c>
      <c r="F116" s="10">
        <v>45666.552245370367</v>
      </c>
      <c r="G116" s="3" t="s">
        <v>502</v>
      </c>
      <c r="H116" s="10">
        <v>45666.570324074077</v>
      </c>
      <c r="I116" s="10">
        <v>45666.604201388887</v>
      </c>
      <c r="J116" s="10">
        <v>45666.605081018519</v>
      </c>
      <c r="K116" s="11">
        <f t="shared" si="2"/>
        <v>7.3958333305199631E-3</v>
      </c>
      <c r="L116" s="11">
        <f t="shared" si="3"/>
        <v>5.1956018520286307E-2</v>
      </c>
    </row>
    <row r="117" spans="1:12" x14ac:dyDescent="0.45">
      <c r="A117" s="3" t="s">
        <v>506</v>
      </c>
      <c r="B117" s="3" t="s">
        <v>178</v>
      </c>
      <c r="C117" s="10">
        <v>45666.541666666657</v>
      </c>
      <c r="D117" s="10">
        <v>45666.543923611112</v>
      </c>
      <c r="E117" s="10">
        <v>45666.552245370367</v>
      </c>
      <c r="F117" s="10">
        <v>45666.554062499999</v>
      </c>
      <c r="G117" s="3" t="s">
        <v>507</v>
      </c>
      <c r="H117" s="10">
        <v>45666.565347222233</v>
      </c>
      <c r="I117" s="10">
        <v>45666.602337962962</v>
      </c>
      <c r="J117" s="10">
        <v>45666.603321759263</v>
      </c>
      <c r="K117" s="11">
        <f t="shared" si="2"/>
        <v>8.3217592546134256E-3</v>
      </c>
      <c r="L117" s="11">
        <f t="shared" si="3"/>
        <v>4.8275462962919846E-2</v>
      </c>
    </row>
    <row r="118" spans="1:12" x14ac:dyDescent="0.45">
      <c r="A118" s="3" t="s">
        <v>509</v>
      </c>
      <c r="B118" s="3" t="s">
        <v>178</v>
      </c>
      <c r="C118" s="10">
        <v>45666.541666666657</v>
      </c>
      <c r="D118" s="10">
        <v>45666.543923611112</v>
      </c>
      <c r="E118" s="10">
        <v>45666.552245370367</v>
      </c>
      <c r="F118" s="10">
        <v>45666.554062499999</v>
      </c>
      <c r="G118" s="3" t="s">
        <v>507</v>
      </c>
      <c r="H118" s="10">
        <v>45666.565347222233</v>
      </c>
      <c r="I118" s="10">
        <v>45666.602337962962</v>
      </c>
      <c r="J118" s="10">
        <v>45666.603321759263</v>
      </c>
      <c r="K118" s="11">
        <f t="shared" si="2"/>
        <v>8.3217592546134256E-3</v>
      </c>
      <c r="L118" s="11">
        <f t="shared" si="3"/>
        <v>4.8275462962919846E-2</v>
      </c>
    </row>
    <row r="119" spans="1:12" x14ac:dyDescent="0.45">
      <c r="A119" s="3" t="s">
        <v>511</v>
      </c>
      <c r="B119" s="3" t="s">
        <v>178</v>
      </c>
      <c r="C119" s="10">
        <v>45666.541666666657</v>
      </c>
      <c r="D119" s="10">
        <v>45666.543923611112</v>
      </c>
      <c r="E119" s="10">
        <v>45666.552245370367</v>
      </c>
      <c r="F119" s="10">
        <v>45666.554062499999</v>
      </c>
      <c r="G119" s="3" t="s">
        <v>507</v>
      </c>
      <c r="H119" s="10">
        <v>45666.565347222233</v>
      </c>
      <c r="I119" s="10">
        <v>45666.602337962962</v>
      </c>
      <c r="J119" s="10">
        <v>45666.603321759263</v>
      </c>
      <c r="K119" s="11">
        <f t="shared" si="2"/>
        <v>8.3217592546134256E-3</v>
      </c>
      <c r="L119" s="11">
        <f t="shared" si="3"/>
        <v>4.8275462962919846E-2</v>
      </c>
    </row>
    <row r="120" spans="1:12" x14ac:dyDescent="0.45">
      <c r="A120" s="3" t="s">
        <v>513</v>
      </c>
      <c r="B120" s="3" t="s">
        <v>179</v>
      </c>
      <c r="C120" s="10">
        <v>45666.546527777777</v>
      </c>
      <c r="D120" s="10">
        <v>45666.548090277778</v>
      </c>
      <c r="E120" s="10">
        <v>45666.556631944448</v>
      </c>
      <c r="F120" s="10">
        <v>45666.557511574072</v>
      </c>
      <c r="G120" s="3" t="s">
        <v>495</v>
      </c>
      <c r="H120" s="10">
        <v>45666.575972222221</v>
      </c>
      <c r="I120" s="10">
        <v>45666.623888888891</v>
      </c>
      <c r="J120" s="10">
        <v>45666.624583333331</v>
      </c>
      <c r="K120" s="11">
        <f t="shared" si="2"/>
        <v>8.5416666697710752E-3</v>
      </c>
      <c r="L120" s="11">
        <f t="shared" si="3"/>
        <v>6.6377314818964805E-2</v>
      </c>
    </row>
    <row r="121" spans="1:12" x14ac:dyDescent="0.45">
      <c r="A121" s="3" t="s">
        <v>515</v>
      </c>
      <c r="B121" s="3" t="s">
        <v>179</v>
      </c>
      <c r="C121" s="10">
        <v>45666.546527777777</v>
      </c>
      <c r="D121" s="10">
        <v>45666.548090277778</v>
      </c>
      <c r="E121" s="10">
        <v>45666.557511574072</v>
      </c>
      <c r="F121" s="10">
        <v>45666.558472222219</v>
      </c>
      <c r="G121" s="3" t="s">
        <v>502</v>
      </c>
      <c r="H121" s="10">
        <v>45666.570324074077</v>
      </c>
      <c r="I121" s="10">
        <v>45666.604201388887</v>
      </c>
      <c r="J121" s="10">
        <v>45666.605081018519</v>
      </c>
      <c r="K121" s="11">
        <f t="shared" si="2"/>
        <v>9.4212962940218858E-3</v>
      </c>
      <c r="L121" s="11">
        <f t="shared" si="3"/>
        <v>4.5729166668024845E-2</v>
      </c>
    </row>
    <row r="122" spans="1:12" x14ac:dyDescent="0.45">
      <c r="A122" s="3" t="s">
        <v>517</v>
      </c>
      <c r="B122" s="3" t="s">
        <v>179</v>
      </c>
      <c r="C122" s="10">
        <v>45666.546527777777</v>
      </c>
      <c r="D122" s="10">
        <v>45666.548090277778</v>
      </c>
      <c r="E122" s="10">
        <v>45666.557511574072</v>
      </c>
      <c r="F122" s="10">
        <v>45666.558472222219</v>
      </c>
      <c r="G122" s="3" t="s">
        <v>502</v>
      </c>
      <c r="H122" s="10">
        <v>45666.570324074077</v>
      </c>
      <c r="I122" s="10">
        <v>45666.604201388887</v>
      </c>
      <c r="J122" s="10">
        <v>45666.605081018519</v>
      </c>
      <c r="K122" s="11">
        <f t="shared" si="2"/>
        <v>9.4212962940218858E-3</v>
      </c>
      <c r="L122" s="11">
        <f t="shared" si="3"/>
        <v>4.5729166668024845E-2</v>
      </c>
    </row>
    <row r="123" spans="1:12" x14ac:dyDescent="0.45">
      <c r="A123" s="3" t="s">
        <v>519</v>
      </c>
      <c r="B123" s="3" t="s">
        <v>179</v>
      </c>
      <c r="C123" s="10">
        <v>45666.546527777777</v>
      </c>
      <c r="D123" s="10">
        <v>45666.548090277778</v>
      </c>
      <c r="E123" s="10">
        <v>45666.558472222219</v>
      </c>
      <c r="F123" s="10">
        <v>45666.559837962966</v>
      </c>
      <c r="G123" s="3" t="s">
        <v>461</v>
      </c>
      <c r="H123" s="10">
        <v>45666.572048611109</v>
      </c>
      <c r="I123" s="10">
        <v>45666.603321759263</v>
      </c>
      <c r="J123" s="10">
        <v>45666.604201388887</v>
      </c>
      <c r="K123" s="11">
        <f t="shared" si="2"/>
        <v>1.0381944441178348E-2</v>
      </c>
      <c r="L123" s="11">
        <f t="shared" si="3"/>
        <v>4.3483796296641231E-2</v>
      </c>
    </row>
    <row r="124" spans="1:12" x14ac:dyDescent="0.45">
      <c r="A124" s="3" t="s">
        <v>521</v>
      </c>
      <c r="B124" s="3" t="s">
        <v>180</v>
      </c>
      <c r="C124" s="10">
        <v>45666.559027777781</v>
      </c>
      <c r="D124" s="10">
        <v>45666.560798611114</v>
      </c>
      <c r="E124" s="10">
        <v>45666.565636574072</v>
      </c>
      <c r="F124" s="10">
        <v>45666.566840277781</v>
      </c>
      <c r="G124" s="3" t="s">
        <v>522</v>
      </c>
      <c r="H124" s="10">
        <v>45666.957453703697</v>
      </c>
      <c r="I124" s="10">
        <v>45666.991655092592</v>
      </c>
      <c r="J124" s="10">
        <v>45666.992696759262</v>
      </c>
      <c r="K124" s="11">
        <f t="shared" si="2"/>
        <v>4.8379629588453099E-3</v>
      </c>
      <c r="L124" s="11">
        <f t="shared" si="3"/>
        <v>0.42481481481081573</v>
      </c>
    </row>
    <row r="125" spans="1:12" x14ac:dyDescent="0.45">
      <c r="A125" s="3" t="s">
        <v>524</v>
      </c>
      <c r="B125" s="3" t="s">
        <v>180</v>
      </c>
      <c r="C125" s="10">
        <v>45666.559027777781</v>
      </c>
      <c r="D125" s="10">
        <v>45666.560798611114</v>
      </c>
      <c r="E125" s="10">
        <v>45666.566840277781</v>
      </c>
      <c r="F125" s="10">
        <v>45666.567777777767</v>
      </c>
      <c r="G125" s="3" t="s">
        <v>495</v>
      </c>
      <c r="H125" s="10">
        <v>45666.575972222221</v>
      </c>
      <c r="I125" s="10">
        <v>45666.623888888891</v>
      </c>
      <c r="J125" s="10">
        <v>45666.624583333331</v>
      </c>
      <c r="K125" s="11">
        <f t="shared" si="2"/>
        <v>6.0416666674427688E-3</v>
      </c>
      <c r="L125" s="11">
        <f t="shared" si="3"/>
        <v>5.6111111123755109E-2</v>
      </c>
    </row>
    <row r="126" spans="1:12" x14ac:dyDescent="0.45">
      <c r="A126" s="3" t="s">
        <v>526</v>
      </c>
      <c r="B126" s="3" t="s">
        <v>181</v>
      </c>
      <c r="C126" s="10">
        <v>45666.568749999999</v>
      </c>
      <c r="D126" s="10">
        <v>45666.570787037039</v>
      </c>
      <c r="E126" s="10">
        <v>45666.577291666668</v>
      </c>
      <c r="F126" s="10">
        <v>45666.578611111108</v>
      </c>
      <c r="G126" s="3" t="s">
        <v>527</v>
      </c>
      <c r="H126" s="10">
        <v>45666.614548611113</v>
      </c>
      <c r="I126" s="10">
        <v>45666.641759259262</v>
      </c>
      <c r="J126" s="10">
        <v>45666.642638888887</v>
      </c>
      <c r="K126" s="11">
        <f t="shared" si="2"/>
        <v>6.5046296294895001E-3</v>
      </c>
      <c r="L126" s="11">
        <f t="shared" si="3"/>
        <v>6.3148148154141381E-2</v>
      </c>
    </row>
    <row r="127" spans="1:12" x14ac:dyDescent="0.45">
      <c r="A127" s="3" t="s">
        <v>529</v>
      </c>
      <c r="B127" s="3" t="s">
        <v>181</v>
      </c>
      <c r="C127" s="10">
        <v>45666.568749999999</v>
      </c>
      <c r="D127" s="10">
        <v>45666.570787037039</v>
      </c>
      <c r="E127" s="10">
        <v>45666.578611111108</v>
      </c>
      <c r="F127" s="10">
        <v>45666.579930555563</v>
      </c>
      <c r="G127" s="3" t="s">
        <v>530</v>
      </c>
      <c r="H127" s="10">
        <v>45666.617349537039</v>
      </c>
      <c r="I127" s="10">
        <v>45666.640914351847</v>
      </c>
      <c r="J127" s="10">
        <v>45666.641759259262</v>
      </c>
      <c r="K127" s="11">
        <f t="shared" si="2"/>
        <v>7.8240740695036948E-3</v>
      </c>
      <c r="L127" s="11">
        <f t="shared" si="3"/>
        <v>6.0983796283835545E-2</v>
      </c>
    </row>
    <row r="128" spans="1:12" x14ac:dyDescent="0.45">
      <c r="A128" s="3" t="s">
        <v>532</v>
      </c>
      <c r="B128" s="3" t="s">
        <v>181</v>
      </c>
      <c r="C128" s="10">
        <v>45666.568749999999</v>
      </c>
      <c r="D128" s="10">
        <v>45666.570787037039</v>
      </c>
      <c r="E128" s="10">
        <v>45666.578611111108</v>
      </c>
      <c r="F128" s="10">
        <v>45666.579930555563</v>
      </c>
      <c r="G128" s="3" t="s">
        <v>530</v>
      </c>
      <c r="H128" s="10">
        <v>45666.617349537039</v>
      </c>
      <c r="I128" s="10">
        <v>45666.640914351847</v>
      </c>
      <c r="J128" s="10">
        <v>45666.641759259262</v>
      </c>
      <c r="K128" s="11">
        <f t="shared" si="2"/>
        <v>7.8240740695036948E-3</v>
      </c>
      <c r="L128" s="11">
        <f t="shared" si="3"/>
        <v>6.0983796283835545E-2</v>
      </c>
    </row>
    <row r="129" spans="1:12" x14ac:dyDescent="0.45">
      <c r="A129" s="3" t="s">
        <v>534</v>
      </c>
      <c r="B129" s="3" t="s">
        <v>182</v>
      </c>
      <c r="C129" s="10">
        <v>45666.576388888891</v>
      </c>
      <c r="D129" s="10">
        <v>45666.577986111108</v>
      </c>
      <c r="E129" s="10">
        <v>45666.587326388893</v>
      </c>
      <c r="F129" s="10">
        <v>45666.588472222233</v>
      </c>
      <c r="G129" s="3" t="s">
        <v>535</v>
      </c>
      <c r="H129" s="10">
        <v>45666.61990740741</v>
      </c>
      <c r="I129" s="10">
        <v>45666.647847222222</v>
      </c>
      <c r="J129" s="10">
        <v>45666.648680555547</v>
      </c>
      <c r="K129" s="11">
        <f t="shared" si="2"/>
        <v>9.3402777856681496E-3</v>
      </c>
      <c r="L129" s="11">
        <f t="shared" si="3"/>
        <v>5.9374999989813659E-2</v>
      </c>
    </row>
    <row r="130" spans="1:12" x14ac:dyDescent="0.45">
      <c r="A130" s="3" t="s">
        <v>537</v>
      </c>
      <c r="B130" s="3" t="s">
        <v>182</v>
      </c>
      <c r="C130" s="10">
        <v>45666.576388888891</v>
      </c>
      <c r="D130" s="10">
        <v>45666.577986111108</v>
      </c>
      <c r="E130" s="10">
        <v>45666.588472222233</v>
      </c>
      <c r="F130" s="10">
        <v>45666.589745370373</v>
      </c>
      <c r="G130" s="3" t="s">
        <v>527</v>
      </c>
      <c r="H130" s="10">
        <v>45666.614548611113</v>
      </c>
      <c r="I130" s="10">
        <v>45666.641759259262</v>
      </c>
      <c r="J130" s="10">
        <v>45666.642638888887</v>
      </c>
      <c r="K130" s="11">
        <f t="shared" ref="K130:K193" si="4">IF(AND(ISNUMBER(D130),ISNUMBER(E130)),(E130-D130),"")</f>
        <v>1.0486111124919262E-2</v>
      </c>
      <c r="L130" s="11">
        <f t="shared" ref="L130:L193" si="5">IF(AND(ISNUMBER(F130),ISNUMBER(I130)),(I130-F130),"")</f>
        <v>5.2013888889632653E-2</v>
      </c>
    </row>
    <row r="131" spans="1:12" x14ac:dyDescent="0.45">
      <c r="A131" s="3" t="s">
        <v>539</v>
      </c>
      <c r="B131" s="3" t="s">
        <v>182</v>
      </c>
      <c r="C131" s="10">
        <v>45666.576388888891</v>
      </c>
      <c r="D131" s="10">
        <v>45666.577986111108</v>
      </c>
      <c r="E131" s="10">
        <v>45666.589745370373</v>
      </c>
      <c r="F131" s="10">
        <v>45666.590810185182</v>
      </c>
      <c r="G131" s="3" t="s">
        <v>535</v>
      </c>
      <c r="H131" s="10">
        <v>45666.61990740741</v>
      </c>
      <c r="I131" s="10">
        <v>45666.647847222222</v>
      </c>
      <c r="J131" s="10">
        <v>45666.648680555547</v>
      </c>
      <c r="K131" s="11">
        <f t="shared" si="4"/>
        <v>1.1759259265090805E-2</v>
      </c>
      <c r="L131" s="11">
        <f t="shared" si="5"/>
        <v>5.7037037040572613E-2</v>
      </c>
    </row>
    <row r="132" spans="1:12" x14ac:dyDescent="0.45">
      <c r="A132" s="3" t="s">
        <v>541</v>
      </c>
      <c r="B132" s="3" t="s">
        <v>183</v>
      </c>
      <c r="C132" s="10">
        <v>45666.791666666657</v>
      </c>
      <c r="D132" s="10">
        <v>45666.793587962973</v>
      </c>
      <c r="E132" s="10">
        <v>45666.799375000002</v>
      </c>
      <c r="F132" s="10">
        <v>45666.800451388888</v>
      </c>
      <c r="G132" s="3" t="s">
        <v>542</v>
      </c>
      <c r="H132" s="10">
        <v>45666.811932870369</v>
      </c>
      <c r="I132" s="10">
        <v>45666.841643518521</v>
      </c>
      <c r="J132" s="10">
        <v>45666.842442129629</v>
      </c>
      <c r="K132" s="11">
        <f t="shared" si="4"/>
        <v>5.7870370292221196E-3</v>
      </c>
      <c r="L132" s="11">
        <f t="shared" si="5"/>
        <v>4.1192129632690921E-2</v>
      </c>
    </row>
    <row r="133" spans="1:12" x14ac:dyDescent="0.45">
      <c r="A133" s="3" t="s">
        <v>544</v>
      </c>
      <c r="B133" s="3" t="s">
        <v>183</v>
      </c>
      <c r="C133" s="10">
        <v>45666.791666666657</v>
      </c>
      <c r="D133" s="10">
        <v>45666.793587962973</v>
      </c>
      <c r="E133" s="10">
        <v>45666.799375000002</v>
      </c>
      <c r="F133" s="10">
        <v>45666.800451388888</v>
      </c>
      <c r="G133" s="3" t="s">
        <v>542</v>
      </c>
      <c r="H133" s="10">
        <v>45666.811932870369</v>
      </c>
      <c r="I133" s="10">
        <v>45666.841643518521</v>
      </c>
      <c r="J133" s="10">
        <v>45666.842442129629</v>
      </c>
      <c r="K133" s="11">
        <f t="shared" si="4"/>
        <v>5.7870370292221196E-3</v>
      </c>
      <c r="L133" s="11">
        <f t="shared" si="5"/>
        <v>4.1192129632690921E-2</v>
      </c>
    </row>
    <row r="134" spans="1:12" x14ac:dyDescent="0.45">
      <c r="A134" s="3" t="s">
        <v>546</v>
      </c>
      <c r="B134" s="3" t="s">
        <v>184</v>
      </c>
      <c r="C134" s="10">
        <v>45666.795138888891</v>
      </c>
      <c r="D134" s="10">
        <v>45666.7969212963</v>
      </c>
      <c r="E134" s="10">
        <v>45666.808125000003</v>
      </c>
      <c r="F134" s="10">
        <v>45666.809155092589</v>
      </c>
      <c r="G134" s="3" t="s">
        <v>547</v>
      </c>
      <c r="H134" s="10">
        <v>45666.823553240742</v>
      </c>
      <c r="I134" s="10">
        <v>45666.85497685185</v>
      </c>
      <c r="J134" s="10">
        <v>45666.855821759258</v>
      </c>
      <c r="K134" s="11">
        <f t="shared" si="4"/>
        <v>1.1203703703358769E-2</v>
      </c>
      <c r="L134" s="11">
        <f t="shared" si="5"/>
        <v>4.5821759260434192E-2</v>
      </c>
    </row>
    <row r="135" spans="1:12" x14ac:dyDescent="0.45">
      <c r="A135" s="3" t="s">
        <v>549</v>
      </c>
      <c r="B135" s="3" t="s">
        <v>184</v>
      </c>
      <c r="C135" s="10">
        <v>45666.795138888891</v>
      </c>
      <c r="D135" s="10">
        <v>45666.7969212963</v>
      </c>
      <c r="E135" s="10">
        <v>45666.808125000003</v>
      </c>
      <c r="F135" s="10">
        <v>45666.809155092589</v>
      </c>
      <c r="G135" s="3" t="s">
        <v>547</v>
      </c>
      <c r="H135" s="10">
        <v>45666.823553240742</v>
      </c>
      <c r="I135" s="10">
        <v>45666.85497685185</v>
      </c>
      <c r="J135" s="10">
        <v>45666.855821759258</v>
      </c>
      <c r="K135" s="11">
        <f t="shared" si="4"/>
        <v>1.1203703703358769E-2</v>
      </c>
      <c r="L135" s="11">
        <f t="shared" si="5"/>
        <v>4.5821759260434192E-2</v>
      </c>
    </row>
    <row r="136" spans="1:12" x14ac:dyDescent="0.45">
      <c r="A136" s="3" t="s">
        <v>551</v>
      </c>
      <c r="B136" s="3" t="s">
        <v>184</v>
      </c>
      <c r="C136" s="10">
        <v>45666.795138888891</v>
      </c>
      <c r="D136" s="10">
        <v>45666.7969212963</v>
      </c>
      <c r="E136" s="10">
        <v>45666.809155092589</v>
      </c>
      <c r="F136" s="10">
        <v>45666.810682870368</v>
      </c>
      <c r="G136" s="3" t="s">
        <v>552</v>
      </c>
      <c r="H136" s="10">
        <v>45667.568645833337</v>
      </c>
      <c r="I136" s="10">
        <v>45667.605706018519</v>
      </c>
      <c r="J136" s="10">
        <v>45667.606608796297</v>
      </c>
      <c r="K136" s="11">
        <f t="shared" si="4"/>
        <v>1.2233796289365273E-2</v>
      </c>
      <c r="L136" s="11">
        <f t="shared" si="5"/>
        <v>0.79502314815181307</v>
      </c>
    </row>
    <row r="137" spans="1:12" x14ac:dyDescent="0.45">
      <c r="A137" s="3" t="s">
        <v>554</v>
      </c>
      <c r="B137" s="3" t="s">
        <v>184</v>
      </c>
      <c r="C137" s="10">
        <v>45666.795138888891</v>
      </c>
      <c r="D137" s="10">
        <v>45666.7969212963</v>
      </c>
      <c r="E137" s="10">
        <v>45666.809155092589</v>
      </c>
      <c r="F137" s="10">
        <v>45666.810682870368</v>
      </c>
      <c r="G137" s="3" t="s">
        <v>552</v>
      </c>
      <c r="H137" s="10">
        <v>45667.568645833337</v>
      </c>
      <c r="I137" s="10">
        <v>45667.605706018519</v>
      </c>
      <c r="J137" s="10">
        <v>45667.606608796297</v>
      </c>
      <c r="K137" s="11">
        <f t="shared" si="4"/>
        <v>1.2233796289365273E-2</v>
      </c>
      <c r="L137" s="11">
        <f t="shared" si="5"/>
        <v>0.79502314815181307</v>
      </c>
    </row>
    <row r="138" spans="1:12" x14ac:dyDescent="0.45">
      <c r="A138" s="3" t="s">
        <v>556</v>
      </c>
      <c r="B138" s="3" t="s">
        <v>184</v>
      </c>
      <c r="C138" s="10">
        <v>45666.795138888891</v>
      </c>
      <c r="D138" s="10">
        <v>45666.7969212963</v>
      </c>
      <c r="E138" s="10">
        <v>45666.810682870368</v>
      </c>
      <c r="F138" s="10">
        <v>45666.811678240738</v>
      </c>
      <c r="G138" s="3" t="s">
        <v>547</v>
      </c>
      <c r="H138" s="10">
        <v>45666.823553240742</v>
      </c>
      <c r="I138" s="10">
        <v>45666.85497685185</v>
      </c>
      <c r="J138" s="10">
        <v>45666.855821759258</v>
      </c>
      <c r="K138" s="11">
        <f t="shared" si="4"/>
        <v>1.3761574067757465E-2</v>
      </c>
      <c r="L138" s="11">
        <f t="shared" si="5"/>
        <v>4.3298611111822538E-2</v>
      </c>
    </row>
    <row r="139" spans="1:12" x14ac:dyDescent="0.45">
      <c r="A139" s="3" t="s">
        <v>558</v>
      </c>
      <c r="B139" s="3" t="s">
        <v>185</v>
      </c>
      <c r="C139" s="10">
        <v>45666.9375</v>
      </c>
      <c r="D139" s="10">
        <v>45666.939456018517</v>
      </c>
      <c r="E139" s="10">
        <v>45666.945335648154</v>
      </c>
      <c r="F139" s="10">
        <v>45666.946840277778</v>
      </c>
      <c r="G139" s="3" t="s">
        <v>522</v>
      </c>
      <c r="H139" s="10">
        <v>45666.957453703697</v>
      </c>
      <c r="I139" s="10">
        <v>45666.991655092592</v>
      </c>
      <c r="J139" s="10">
        <v>45666.992696759262</v>
      </c>
      <c r="K139" s="11">
        <f t="shared" si="4"/>
        <v>5.8796296361833811E-3</v>
      </c>
      <c r="L139" s="11">
        <f t="shared" si="5"/>
        <v>4.4814814813435078E-2</v>
      </c>
    </row>
    <row r="140" spans="1:12" x14ac:dyDescent="0.45">
      <c r="A140" s="3" t="s">
        <v>560</v>
      </c>
      <c r="B140" s="3" t="s">
        <v>185</v>
      </c>
      <c r="C140" s="10">
        <v>45666.9375</v>
      </c>
      <c r="D140" s="10">
        <v>45666.939456018517</v>
      </c>
      <c r="E140" s="10">
        <v>45666.945335648154</v>
      </c>
      <c r="F140" s="10">
        <v>45666.946840277778</v>
      </c>
      <c r="G140" s="3" t="s">
        <v>522</v>
      </c>
      <c r="H140" s="10">
        <v>45666.957453703697</v>
      </c>
      <c r="I140" s="10">
        <v>45666.991655092592</v>
      </c>
      <c r="J140" s="10">
        <v>45666.992696759262</v>
      </c>
      <c r="K140" s="11">
        <f t="shared" si="4"/>
        <v>5.8796296361833811E-3</v>
      </c>
      <c r="L140" s="11">
        <f t="shared" si="5"/>
        <v>4.4814814813435078E-2</v>
      </c>
    </row>
    <row r="141" spans="1:12" x14ac:dyDescent="0.45">
      <c r="A141" s="3" t="s">
        <v>562</v>
      </c>
      <c r="B141" s="3" t="s">
        <v>185</v>
      </c>
      <c r="C141" s="10">
        <v>45666.9375</v>
      </c>
      <c r="D141" s="10">
        <v>45666.939456018517</v>
      </c>
      <c r="E141" s="10">
        <v>45666.945335648154</v>
      </c>
      <c r="F141" s="10">
        <v>45666.946840277778</v>
      </c>
      <c r="G141" s="3" t="s">
        <v>522</v>
      </c>
      <c r="H141" s="10">
        <v>45666.957453703697</v>
      </c>
      <c r="I141" s="10">
        <v>45666.991655092592</v>
      </c>
      <c r="J141" s="10">
        <v>45666.992696759262</v>
      </c>
      <c r="K141" s="11">
        <f t="shared" si="4"/>
        <v>5.8796296361833811E-3</v>
      </c>
      <c r="L141" s="11">
        <f t="shared" si="5"/>
        <v>4.4814814813435078E-2</v>
      </c>
    </row>
    <row r="142" spans="1:12" x14ac:dyDescent="0.45">
      <c r="A142" s="3" t="s">
        <v>564</v>
      </c>
      <c r="B142" s="3" t="s">
        <v>185</v>
      </c>
      <c r="C142" s="10">
        <v>45666.9375</v>
      </c>
      <c r="D142" s="10">
        <v>45666.939456018517</v>
      </c>
      <c r="E142" s="10">
        <v>45666.945335648154</v>
      </c>
      <c r="F142" s="10">
        <v>45666.946840277778</v>
      </c>
      <c r="G142" s="3" t="s">
        <v>522</v>
      </c>
      <c r="H142" s="10">
        <v>45666.957453703697</v>
      </c>
      <c r="I142" s="10">
        <v>45666.991655092592</v>
      </c>
      <c r="J142" s="10">
        <v>45666.992696759262</v>
      </c>
      <c r="K142" s="11">
        <f t="shared" si="4"/>
        <v>5.8796296361833811E-3</v>
      </c>
      <c r="L142" s="11">
        <f t="shared" si="5"/>
        <v>4.4814814813435078E-2</v>
      </c>
    </row>
    <row r="143" spans="1:12" x14ac:dyDescent="0.45">
      <c r="A143" s="3" t="s">
        <v>566</v>
      </c>
      <c r="B143" s="3" t="s">
        <v>186</v>
      </c>
      <c r="C143" s="10">
        <v>45667.291666666657</v>
      </c>
      <c r="D143" s="10">
        <v>45667.293622685182</v>
      </c>
      <c r="E143" s="10">
        <v>45667.303055555552</v>
      </c>
      <c r="F143" s="10">
        <v>45667.303877314807</v>
      </c>
      <c r="G143" s="3" t="s">
        <v>567</v>
      </c>
      <c r="H143" s="10">
        <v>45667.399212962962</v>
      </c>
      <c r="I143" s="10">
        <v>45667.425069444442</v>
      </c>
      <c r="J143" s="10">
        <v>45667.425868055558</v>
      </c>
      <c r="K143" s="11">
        <f t="shared" si="4"/>
        <v>9.4328703708015382E-3</v>
      </c>
      <c r="L143" s="11">
        <f t="shared" si="5"/>
        <v>0.12119212963443715</v>
      </c>
    </row>
    <row r="144" spans="1:12" x14ac:dyDescent="0.45">
      <c r="A144" s="3" t="s">
        <v>569</v>
      </c>
      <c r="B144" s="3" t="s">
        <v>186</v>
      </c>
      <c r="C144" s="10">
        <v>45667.291666666657</v>
      </c>
      <c r="D144" s="10">
        <v>45667.293622685182</v>
      </c>
      <c r="E144" s="10">
        <v>45667.303877314807</v>
      </c>
      <c r="F144" s="10">
        <v>45667.304814814823</v>
      </c>
      <c r="G144" s="3" t="s">
        <v>570</v>
      </c>
      <c r="H144" s="10">
        <v>45667.645694444444</v>
      </c>
      <c r="I144" s="10">
        <v>45667.66878472222</v>
      </c>
      <c r="J144" s="10">
        <v>45667.66951388889</v>
      </c>
      <c r="K144" s="11">
        <f t="shared" si="4"/>
        <v>1.0254629625706002E-2</v>
      </c>
      <c r="L144" s="11">
        <f t="shared" si="5"/>
        <v>0.36396990739740431</v>
      </c>
    </row>
    <row r="145" spans="1:12" x14ac:dyDescent="0.45">
      <c r="A145" s="3" t="s">
        <v>572</v>
      </c>
      <c r="B145" s="3" t="s">
        <v>186</v>
      </c>
      <c r="C145" s="10">
        <v>45667.291666666657</v>
      </c>
      <c r="D145" s="10">
        <v>45667.293622685182</v>
      </c>
      <c r="E145" s="10">
        <v>45667.304814814823</v>
      </c>
      <c r="F145" s="10">
        <v>45667.306006944447</v>
      </c>
      <c r="G145" s="3" t="s">
        <v>478</v>
      </c>
      <c r="H145" s="10">
        <v>45667.703483796293</v>
      </c>
      <c r="I145" s="10">
        <v>45667.732048611113</v>
      </c>
      <c r="J145" s="10">
        <v>45667.732928240737</v>
      </c>
      <c r="K145" s="11">
        <f t="shared" si="4"/>
        <v>1.1192129641131032E-2</v>
      </c>
      <c r="L145" s="11">
        <f t="shared" si="5"/>
        <v>0.42604166666569654</v>
      </c>
    </row>
    <row r="146" spans="1:12" x14ac:dyDescent="0.45">
      <c r="A146" s="3" t="s">
        <v>574</v>
      </c>
      <c r="B146" s="3" t="s">
        <v>186</v>
      </c>
      <c r="C146" s="10">
        <v>45667.291666666657</v>
      </c>
      <c r="D146" s="10">
        <v>45667.293622685182</v>
      </c>
      <c r="E146" s="10">
        <v>45667.306006944447</v>
      </c>
      <c r="F146" s="10">
        <v>45667.306875000002</v>
      </c>
      <c r="G146" s="3" t="s">
        <v>567</v>
      </c>
      <c r="H146" s="10">
        <v>45667.399212962962</v>
      </c>
      <c r="I146" s="10">
        <v>45667.425069444442</v>
      </c>
      <c r="J146" s="10">
        <v>45667.425868055558</v>
      </c>
      <c r="K146" s="11">
        <f t="shared" si="4"/>
        <v>1.2384259265672881E-2</v>
      </c>
      <c r="L146" s="11">
        <f t="shared" si="5"/>
        <v>0.11819444443972316</v>
      </c>
    </row>
    <row r="147" spans="1:12" x14ac:dyDescent="0.45">
      <c r="A147" s="3" t="s">
        <v>576</v>
      </c>
      <c r="B147" s="3" t="s">
        <v>187</v>
      </c>
      <c r="C147" s="10">
        <v>45667.315972222219</v>
      </c>
      <c r="D147" s="10">
        <v>45667.317893518521</v>
      </c>
      <c r="E147" s="10">
        <v>45667.325567129628</v>
      </c>
      <c r="F147" s="10">
        <v>45667.326840277783</v>
      </c>
      <c r="G147" s="3" t="s">
        <v>577</v>
      </c>
      <c r="H147" s="10">
        <v>45667.573414351849</v>
      </c>
      <c r="I147" s="10">
        <v>45667.624976851846</v>
      </c>
      <c r="J147" s="10">
        <v>45667.625972222217</v>
      </c>
      <c r="K147" s="11">
        <f t="shared" si="4"/>
        <v>7.6736111077480018E-3</v>
      </c>
      <c r="L147" s="11">
        <f t="shared" si="5"/>
        <v>0.29813657406339189</v>
      </c>
    </row>
    <row r="148" spans="1:12" x14ac:dyDescent="0.45">
      <c r="A148" s="3" t="s">
        <v>579</v>
      </c>
      <c r="B148" s="3" t="s">
        <v>187</v>
      </c>
      <c r="C148" s="10">
        <v>45667.315972222219</v>
      </c>
      <c r="D148" s="10">
        <v>45667.317893518521</v>
      </c>
      <c r="E148" s="10">
        <v>45667.326840277783</v>
      </c>
      <c r="F148" s="10">
        <v>45667.328067129631</v>
      </c>
      <c r="G148" s="3" t="s">
        <v>580</v>
      </c>
      <c r="H148" s="10">
        <v>45667.566377314812</v>
      </c>
      <c r="I148" s="10">
        <v>45667.592685185176</v>
      </c>
      <c r="J148" s="10">
        <v>45667.593518518523</v>
      </c>
      <c r="K148" s="11">
        <f t="shared" si="4"/>
        <v>8.9467592624714598E-3</v>
      </c>
      <c r="L148" s="11">
        <f t="shared" si="5"/>
        <v>0.26461805554572493</v>
      </c>
    </row>
    <row r="149" spans="1:12" x14ac:dyDescent="0.45">
      <c r="A149" s="3" t="s">
        <v>582</v>
      </c>
      <c r="B149" s="3" t="s">
        <v>187</v>
      </c>
      <c r="C149" s="10">
        <v>45667.315972222219</v>
      </c>
      <c r="D149" s="10">
        <v>45667.317893518521</v>
      </c>
      <c r="E149" s="10">
        <v>45667.328067129631</v>
      </c>
      <c r="F149" s="10">
        <v>45667.329421296286</v>
      </c>
      <c r="G149" s="3" t="s">
        <v>351</v>
      </c>
      <c r="H149" s="10">
        <v>45667.337592592587</v>
      </c>
      <c r="I149" s="10">
        <v>45667.360682870371</v>
      </c>
      <c r="J149" s="10">
        <v>45667.361377314817</v>
      </c>
      <c r="K149" s="11">
        <f t="shared" si="4"/>
        <v>1.0173611110076308E-2</v>
      </c>
      <c r="L149" s="11">
        <f t="shared" si="5"/>
        <v>3.126157408405561E-2</v>
      </c>
    </row>
    <row r="150" spans="1:12" x14ac:dyDescent="0.45">
      <c r="A150" s="3" t="s">
        <v>584</v>
      </c>
      <c r="B150" s="3" t="s">
        <v>188</v>
      </c>
      <c r="C150" s="10">
        <v>45667.35</v>
      </c>
      <c r="D150" s="10">
        <v>45667.351817129631</v>
      </c>
      <c r="E150" s="10">
        <v>45667.35665509259</v>
      </c>
      <c r="F150" s="10">
        <v>45667.357557870368</v>
      </c>
      <c r="G150" s="3" t="s">
        <v>570</v>
      </c>
      <c r="H150" s="10">
        <v>45667.645694444444</v>
      </c>
      <c r="I150" s="10">
        <v>45667.66878472222</v>
      </c>
      <c r="J150" s="10">
        <v>45667.66951388889</v>
      </c>
      <c r="K150" s="11">
        <f t="shared" si="4"/>
        <v>4.8379629588453099E-3</v>
      </c>
      <c r="L150" s="11">
        <f t="shared" si="5"/>
        <v>0.3112268518525525</v>
      </c>
    </row>
    <row r="151" spans="1:12" x14ac:dyDescent="0.45">
      <c r="A151" s="3" t="s">
        <v>586</v>
      </c>
      <c r="B151" s="3" t="s">
        <v>188</v>
      </c>
      <c r="C151" s="10">
        <v>45667.35</v>
      </c>
      <c r="D151" s="10">
        <v>45667.351817129631</v>
      </c>
      <c r="E151" s="10">
        <v>45667.357557870368</v>
      </c>
      <c r="F151" s="10">
        <v>45667.358854166669</v>
      </c>
      <c r="G151" s="3" t="s">
        <v>580</v>
      </c>
      <c r="H151" s="10">
        <v>45667.566377314812</v>
      </c>
      <c r="I151" s="10">
        <v>45667.592685185176</v>
      </c>
      <c r="J151" s="10">
        <v>45667.593518518523</v>
      </c>
      <c r="K151" s="11">
        <f t="shared" si="4"/>
        <v>5.7407407366554253E-3</v>
      </c>
      <c r="L151" s="11">
        <f t="shared" si="5"/>
        <v>0.23383101850777166</v>
      </c>
    </row>
    <row r="152" spans="1:12" x14ac:dyDescent="0.45">
      <c r="A152" s="3" t="s">
        <v>588</v>
      </c>
      <c r="B152" s="3" t="s">
        <v>189</v>
      </c>
      <c r="C152" s="10">
        <v>45667.377083333333</v>
      </c>
      <c r="D152" s="10">
        <v>45667.37908564815</v>
      </c>
      <c r="E152" s="10">
        <v>45667.387673611112</v>
      </c>
      <c r="F152" s="10">
        <v>45667.38857638889</v>
      </c>
      <c r="G152" s="3" t="s">
        <v>567</v>
      </c>
      <c r="H152" s="10">
        <v>45667.399212962962</v>
      </c>
      <c r="I152" s="10">
        <v>45667.425069444442</v>
      </c>
      <c r="J152" s="10">
        <v>45667.425868055558</v>
      </c>
      <c r="K152" s="11">
        <f t="shared" si="4"/>
        <v>8.5879629623377696E-3</v>
      </c>
      <c r="L152" s="11">
        <f t="shared" si="5"/>
        <v>3.6493055551545694E-2</v>
      </c>
    </row>
    <row r="153" spans="1:12" x14ac:dyDescent="0.45">
      <c r="A153" s="3" t="s">
        <v>590</v>
      </c>
      <c r="B153" s="3" t="s">
        <v>189</v>
      </c>
      <c r="C153" s="10">
        <v>45667.377083333333</v>
      </c>
      <c r="D153" s="10">
        <v>45667.37908564815</v>
      </c>
      <c r="E153" s="10">
        <v>45667.38857638889</v>
      </c>
      <c r="F153" s="10">
        <v>45667.389976851853</v>
      </c>
      <c r="G153" s="3" t="s">
        <v>591</v>
      </c>
      <c r="H153" s="10">
        <v>45668.542905092603</v>
      </c>
      <c r="I153" s="10">
        <v>45668.56962962963</v>
      </c>
      <c r="J153" s="10">
        <v>45668.5703587963</v>
      </c>
      <c r="K153" s="11">
        <f t="shared" si="4"/>
        <v>9.4907407401478849E-3</v>
      </c>
      <c r="L153" s="11">
        <f t="shared" si="5"/>
        <v>1.179652777776937</v>
      </c>
    </row>
    <row r="154" spans="1:12" x14ac:dyDescent="0.45">
      <c r="A154" s="3" t="s">
        <v>593</v>
      </c>
      <c r="B154" s="3" t="s">
        <v>189</v>
      </c>
      <c r="C154" s="10">
        <v>45667.377083333333</v>
      </c>
      <c r="D154" s="10">
        <v>45667.37908564815</v>
      </c>
      <c r="E154" s="10">
        <v>45667.389976851853</v>
      </c>
      <c r="F154" s="10">
        <v>45667.391365740739</v>
      </c>
      <c r="G154" s="3" t="s">
        <v>594</v>
      </c>
      <c r="H154" s="10">
        <v>45667.568819444437</v>
      </c>
      <c r="I154" s="10">
        <v>45667.614212962973</v>
      </c>
      <c r="J154" s="10">
        <v>45667.615057870367</v>
      </c>
      <c r="K154" s="11">
        <f t="shared" si="4"/>
        <v>1.0891203703067731E-2</v>
      </c>
      <c r="L154" s="11">
        <f t="shared" si="5"/>
        <v>0.22284722223412246</v>
      </c>
    </row>
    <row r="155" spans="1:12" x14ac:dyDescent="0.45">
      <c r="A155" s="3" t="s">
        <v>596</v>
      </c>
      <c r="B155" s="3" t="s">
        <v>191</v>
      </c>
      <c r="C155" s="10">
        <v>45667.541666666657</v>
      </c>
      <c r="D155" s="10">
        <v>45667.543379629627</v>
      </c>
      <c r="E155" s="10">
        <v>45667.553032407413</v>
      </c>
      <c r="F155" s="10">
        <v>45667.554062499999</v>
      </c>
      <c r="G155" s="3" t="s">
        <v>597</v>
      </c>
      <c r="H155" s="10">
        <v>45667.563078703701</v>
      </c>
      <c r="I155" s="10">
        <v>45667.590289351851</v>
      </c>
      <c r="J155" s="10">
        <v>45667.591053240743</v>
      </c>
      <c r="K155" s="11">
        <f t="shared" si="4"/>
        <v>9.6527777859591879E-3</v>
      </c>
      <c r="L155" s="11">
        <f t="shared" si="5"/>
        <v>3.6226851851097308E-2</v>
      </c>
    </row>
    <row r="156" spans="1:12" x14ac:dyDescent="0.45">
      <c r="A156" s="3" t="s">
        <v>599</v>
      </c>
      <c r="B156" s="3" t="s">
        <v>191</v>
      </c>
      <c r="C156" s="10">
        <v>45667.541666666657</v>
      </c>
      <c r="D156" s="10">
        <v>45667.543379629627</v>
      </c>
      <c r="E156" s="10">
        <v>45667.553032407413</v>
      </c>
      <c r="F156" s="10">
        <v>45667.554062499999</v>
      </c>
      <c r="G156" s="3" t="s">
        <v>597</v>
      </c>
      <c r="H156" s="10">
        <v>45667.563078703701</v>
      </c>
      <c r="I156" s="10">
        <v>45667.590289351851</v>
      </c>
      <c r="J156" s="10">
        <v>45667.591053240743</v>
      </c>
      <c r="K156" s="11">
        <f t="shared" si="4"/>
        <v>9.6527777859591879E-3</v>
      </c>
      <c r="L156" s="11">
        <f t="shared" si="5"/>
        <v>3.6226851851097308E-2</v>
      </c>
    </row>
    <row r="157" spans="1:12" x14ac:dyDescent="0.45">
      <c r="A157" s="3" t="s">
        <v>601</v>
      </c>
      <c r="B157" s="3" t="s">
        <v>191</v>
      </c>
      <c r="C157" s="10">
        <v>45667.541666666657</v>
      </c>
      <c r="D157" s="10">
        <v>45667.543379629627</v>
      </c>
      <c r="E157" s="10">
        <v>45667.553032407413</v>
      </c>
      <c r="F157" s="10">
        <v>45667.554062499999</v>
      </c>
      <c r="G157" s="3" t="s">
        <v>597</v>
      </c>
      <c r="H157" s="10">
        <v>45667.563078703701</v>
      </c>
      <c r="I157" s="10">
        <v>45667.590289351851</v>
      </c>
      <c r="J157" s="10">
        <v>45667.591053240743</v>
      </c>
      <c r="K157" s="11">
        <f t="shared" si="4"/>
        <v>9.6527777859591879E-3</v>
      </c>
      <c r="L157" s="11">
        <f t="shared" si="5"/>
        <v>3.6226851851097308E-2</v>
      </c>
    </row>
    <row r="158" spans="1:12" x14ac:dyDescent="0.45">
      <c r="A158" s="3" t="s">
        <v>603</v>
      </c>
      <c r="B158" s="3" t="s">
        <v>191</v>
      </c>
      <c r="C158" s="10">
        <v>45667.541666666657</v>
      </c>
      <c r="D158" s="10">
        <v>45667.543379629627</v>
      </c>
      <c r="E158" s="10">
        <v>45667.554062499999</v>
      </c>
      <c r="F158" s="10">
        <v>45667.555555555547</v>
      </c>
      <c r="G158" s="3" t="s">
        <v>552</v>
      </c>
      <c r="H158" s="10">
        <v>45667.568645833337</v>
      </c>
      <c r="I158" s="10">
        <v>45667.605706018519</v>
      </c>
      <c r="J158" s="10">
        <v>45667.606608796297</v>
      </c>
      <c r="K158" s="11">
        <f t="shared" si="4"/>
        <v>1.0682870371965691E-2</v>
      </c>
      <c r="L158" s="11">
        <f t="shared" si="5"/>
        <v>5.0150462971942034E-2</v>
      </c>
    </row>
    <row r="159" spans="1:12" x14ac:dyDescent="0.45">
      <c r="A159" s="3" t="s">
        <v>605</v>
      </c>
      <c r="B159" s="3" t="s">
        <v>191</v>
      </c>
      <c r="C159" s="10">
        <v>45667.541666666657</v>
      </c>
      <c r="D159" s="10">
        <v>45667.543379629627</v>
      </c>
      <c r="E159" s="10">
        <v>45667.555555555547</v>
      </c>
      <c r="F159" s="10">
        <v>45667.556655092587</v>
      </c>
      <c r="G159" s="3" t="s">
        <v>606</v>
      </c>
      <c r="H159" s="10">
        <v>45667.704699074071</v>
      </c>
      <c r="I159" s="10">
        <v>45667.736967592587</v>
      </c>
      <c r="J159" s="10">
        <v>45667.737962962958</v>
      </c>
      <c r="K159" s="11">
        <f t="shared" si="4"/>
        <v>1.2175925920018926E-2</v>
      </c>
      <c r="L159" s="11">
        <f t="shared" si="5"/>
        <v>0.18031250000058208</v>
      </c>
    </row>
    <row r="160" spans="1:12" x14ac:dyDescent="0.45">
      <c r="A160" s="3" t="s">
        <v>608</v>
      </c>
      <c r="B160" s="3" t="s">
        <v>190</v>
      </c>
      <c r="C160" s="10">
        <v>45667.541666666657</v>
      </c>
      <c r="D160" s="10">
        <v>45667.543773148151</v>
      </c>
      <c r="E160" s="10">
        <v>45667.55741898148</v>
      </c>
      <c r="F160" s="10">
        <v>45667.55877314815</v>
      </c>
      <c r="G160" s="3" t="s">
        <v>594</v>
      </c>
      <c r="H160" s="10">
        <v>45667.568819444437</v>
      </c>
      <c r="I160" s="10">
        <v>45667.614212962973</v>
      </c>
      <c r="J160" s="10">
        <v>45667.615057870367</v>
      </c>
      <c r="K160" s="11">
        <f t="shared" si="4"/>
        <v>1.3645833329064772E-2</v>
      </c>
      <c r="L160" s="11">
        <f t="shared" si="5"/>
        <v>5.543981482333038E-2</v>
      </c>
    </row>
    <row r="161" spans="1:12" x14ac:dyDescent="0.45">
      <c r="A161" s="3" t="s">
        <v>610</v>
      </c>
      <c r="B161" s="3" t="s">
        <v>190</v>
      </c>
      <c r="C161" s="10">
        <v>45667.541666666657</v>
      </c>
      <c r="D161" s="10">
        <v>45667.543773148151</v>
      </c>
      <c r="E161" s="10">
        <v>45667.55877314815</v>
      </c>
      <c r="F161" s="10">
        <v>45667.559988425928</v>
      </c>
      <c r="G161" s="3" t="s">
        <v>580</v>
      </c>
      <c r="H161" s="10">
        <v>45667.566377314812</v>
      </c>
      <c r="I161" s="10">
        <v>45667.592685185176</v>
      </c>
      <c r="J161" s="10">
        <v>45667.593518518523</v>
      </c>
      <c r="K161" s="11">
        <f t="shared" si="4"/>
        <v>1.4999999999417923E-2</v>
      </c>
      <c r="L161" s="11">
        <f t="shared" si="5"/>
        <v>3.2696759248210583E-2</v>
      </c>
    </row>
    <row r="162" spans="1:12" x14ac:dyDescent="0.45">
      <c r="A162" s="3" t="s">
        <v>612</v>
      </c>
      <c r="B162" s="3" t="s">
        <v>190</v>
      </c>
      <c r="C162" s="10">
        <v>45667.541666666657</v>
      </c>
      <c r="D162" s="10">
        <v>45667.543773148151</v>
      </c>
      <c r="E162" s="10">
        <v>45667.559988425928</v>
      </c>
      <c r="F162" s="10">
        <v>45667.561377314807</v>
      </c>
      <c r="G162" s="3" t="s">
        <v>594</v>
      </c>
      <c r="H162" s="10">
        <v>45667.568819444437</v>
      </c>
      <c r="I162" s="10">
        <v>45667.614212962973</v>
      </c>
      <c r="J162" s="10">
        <v>45667.615057870367</v>
      </c>
      <c r="K162" s="11">
        <f t="shared" si="4"/>
        <v>1.6215277777519077E-2</v>
      </c>
      <c r="L162" s="11">
        <f t="shared" si="5"/>
        <v>5.283564816636499E-2</v>
      </c>
    </row>
    <row r="163" spans="1:12" x14ac:dyDescent="0.45">
      <c r="A163" s="3" t="s">
        <v>614</v>
      </c>
      <c r="B163" s="3" t="s">
        <v>190</v>
      </c>
      <c r="C163" s="10">
        <v>45667.541666666657</v>
      </c>
      <c r="D163" s="10">
        <v>45667.543773148151</v>
      </c>
      <c r="E163" s="10">
        <v>45667.561377314807</v>
      </c>
      <c r="F163" s="10">
        <v>45667.5627662037</v>
      </c>
      <c r="G163" s="3" t="s">
        <v>577</v>
      </c>
      <c r="H163" s="10">
        <v>45667.573414351849</v>
      </c>
      <c r="I163" s="10">
        <v>45667.624976851846</v>
      </c>
      <c r="J163" s="10">
        <v>45667.625972222217</v>
      </c>
      <c r="K163" s="11">
        <f t="shared" si="4"/>
        <v>1.7604166656383313E-2</v>
      </c>
      <c r="L163" s="11">
        <f t="shared" si="5"/>
        <v>6.2210648145992309E-2</v>
      </c>
    </row>
    <row r="164" spans="1:12" x14ac:dyDescent="0.45">
      <c r="A164" s="3" t="s">
        <v>616</v>
      </c>
      <c r="B164" s="3" t="s">
        <v>190</v>
      </c>
      <c r="C164" s="10">
        <v>45667.541666666657</v>
      </c>
      <c r="D164" s="10">
        <v>45667.543773148151</v>
      </c>
      <c r="E164" s="10">
        <v>45667.561377314807</v>
      </c>
      <c r="F164" s="10">
        <v>45667.5627662037</v>
      </c>
      <c r="G164" s="3" t="s">
        <v>577</v>
      </c>
      <c r="H164" s="10">
        <v>45667.573414351849</v>
      </c>
      <c r="I164" s="10">
        <v>45667.624976851846</v>
      </c>
      <c r="J164" s="10">
        <v>45667.625972222217</v>
      </c>
      <c r="K164" s="11">
        <f t="shared" si="4"/>
        <v>1.7604166656383313E-2</v>
      </c>
      <c r="L164" s="11">
        <f t="shared" si="5"/>
        <v>6.2210648145992309E-2</v>
      </c>
    </row>
    <row r="165" spans="1:12" x14ac:dyDescent="0.45">
      <c r="A165" s="3" t="s">
        <v>618</v>
      </c>
      <c r="B165" s="3" t="s">
        <v>192</v>
      </c>
      <c r="C165" s="10">
        <v>45667.625</v>
      </c>
      <c r="D165" s="10">
        <v>45667.627071759263</v>
      </c>
      <c r="E165" s="10">
        <v>45667.636493055557</v>
      </c>
      <c r="F165" s="10">
        <v>45667.637314814812</v>
      </c>
      <c r="G165" s="3" t="s">
        <v>619</v>
      </c>
      <c r="H165" s="10">
        <v>45668.276932870373</v>
      </c>
      <c r="I165" s="10">
        <v>45668.29724537037</v>
      </c>
      <c r="J165" s="10">
        <v>45668.297962962963</v>
      </c>
      <c r="K165" s="11">
        <f t="shared" si="4"/>
        <v>9.4212962940218858E-3</v>
      </c>
      <c r="L165" s="11">
        <f t="shared" si="5"/>
        <v>0.65993055555736646</v>
      </c>
    </row>
    <row r="166" spans="1:12" x14ac:dyDescent="0.45">
      <c r="A166" s="3" t="s">
        <v>621</v>
      </c>
      <c r="B166" s="3" t="s">
        <v>192</v>
      </c>
      <c r="C166" s="10">
        <v>45667.625</v>
      </c>
      <c r="D166" s="10">
        <v>45667.627071759263</v>
      </c>
      <c r="E166" s="10">
        <v>45667.637314814812</v>
      </c>
      <c r="F166" s="10">
        <v>45667.638252314813</v>
      </c>
      <c r="G166" s="3" t="s">
        <v>570</v>
      </c>
      <c r="H166" s="10">
        <v>45667.645694444444</v>
      </c>
      <c r="I166" s="10">
        <v>45667.66878472222</v>
      </c>
      <c r="J166" s="10">
        <v>45667.66951388889</v>
      </c>
      <c r="K166" s="11">
        <f t="shared" si="4"/>
        <v>1.024305554892635E-2</v>
      </c>
      <c r="L166" s="11">
        <f t="shared" si="5"/>
        <v>3.0532407407008577E-2</v>
      </c>
    </row>
    <row r="167" spans="1:12" x14ac:dyDescent="0.45">
      <c r="A167" s="3" t="s">
        <v>623</v>
      </c>
      <c r="B167" s="3" t="s">
        <v>192</v>
      </c>
      <c r="C167" s="10">
        <v>45667.625</v>
      </c>
      <c r="D167" s="10">
        <v>45667.627071759263</v>
      </c>
      <c r="E167" s="10">
        <v>45667.638252314813</v>
      </c>
      <c r="F167" s="10">
        <v>45667.639884259261</v>
      </c>
      <c r="G167" s="3" t="s">
        <v>624</v>
      </c>
      <c r="H167" s="10">
        <v>45667.652627314812</v>
      </c>
      <c r="I167" s="10">
        <v>45667.675694444442</v>
      </c>
      <c r="J167" s="10">
        <v>45667.676493055558</v>
      </c>
      <c r="K167" s="11">
        <f t="shared" si="4"/>
        <v>1.1180555549799465E-2</v>
      </c>
      <c r="L167" s="11">
        <f t="shared" si="5"/>
        <v>3.5810185181617271E-2</v>
      </c>
    </row>
    <row r="168" spans="1:12" x14ac:dyDescent="0.45">
      <c r="A168" s="3" t="s">
        <v>626</v>
      </c>
      <c r="B168" s="3" t="s">
        <v>192</v>
      </c>
      <c r="C168" s="10">
        <v>45667.625</v>
      </c>
      <c r="D168" s="10">
        <v>45667.627071759263</v>
      </c>
      <c r="E168" s="10">
        <v>45667.638252314813</v>
      </c>
      <c r="F168" s="10">
        <v>45667.639884259261</v>
      </c>
      <c r="G168" s="3" t="s">
        <v>624</v>
      </c>
      <c r="H168" s="10">
        <v>45667.652627314812</v>
      </c>
      <c r="I168" s="10">
        <v>45667.675694444442</v>
      </c>
      <c r="J168" s="10">
        <v>45667.676493055558</v>
      </c>
      <c r="K168" s="11">
        <f t="shared" si="4"/>
        <v>1.1180555549799465E-2</v>
      </c>
      <c r="L168" s="11">
        <f t="shared" si="5"/>
        <v>3.5810185181617271E-2</v>
      </c>
    </row>
    <row r="169" spans="1:12" x14ac:dyDescent="0.45">
      <c r="A169" s="3" t="s">
        <v>628</v>
      </c>
      <c r="B169" s="3" t="s">
        <v>193</v>
      </c>
      <c r="C169" s="10">
        <v>45667.65347222222</v>
      </c>
      <c r="D169" s="10">
        <v>45667.655428240738</v>
      </c>
      <c r="E169" s="10">
        <v>45667.661226851851</v>
      </c>
      <c r="F169" s="10">
        <v>45667.662719907406</v>
      </c>
      <c r="G169" s="3" t="s">
        <v>629</v>
      </c>
      <c r="H169" s="10">
        <v>45667.676944444444</v>
      </c>
      <c r="I169" s="10">
        <v>45667.705590277779</v>
      </c>
      <c r="J169" s="10">
        <v>45667.706550925926</v>
      </c>
      <c r="K169" s="11">
        <f t="shared" si="4"/>
        <v>5.7986111132777296E-3</v>
      </c>
      <c r="L169" s="11">
        <f t="shared" si="5"/>
        <v>4.2870370372838806E-2</v>
      </c>
    </row>
    <row r="170" spans="1:12" x14ac:dyDescent="0.45">
      <c r="A170" s="3" t="s">
        <v>631</v>
      </c>
      <c r="B170" s="3" t="s">
        <v>193</v>
      </c>
      <c r="C170" s="10">
        <v>45667.65347222222</v>
      </c>
      <c r="D170" s="10">
        <v>45667.655428240738</v>
      </c>
      <c r="E170" s="10">
        <v>45667.661226851851</v>
      </c>
      <c r="F170" s="10">
        <v>45667.662719907406</v>
      </c>
      <c r="G170" s="3" t="s">
        <v>629</v>
      </c>
      <c r="H170" s="10">
        <v>45667.676944444444</v>
      </c>
      <c r="I170" s="10">
        <v>45667.705590277779</v>
      </c>
      <c r="J170" s="10">
        <v>45667.706550925926</v>
      </c>
      <c r="K170" s="11">
        <f t="shared" si="4"/>
        <v>5.7986111132777296E-3</v>
      </c>
      <c r="L170" s="11">
        <f t="shared" si="5"/>
        <v>4.2870370372838806E-2</v>
      </c>
    </row>
    <row r="171" spans="1:12" x14ac:dyDescent="0.45">
      <c r="A171" s="3" t="s">
        <v>633</v>
      </c>
      <c r="B171" s="3" t="s">
        <v>193</v>
      </c>
      <c r="C171" s="10">
        <v>45667.65347222222</v>
      </c>
      <c r="D171" s="10">
        <v>45667.655428240738</v>
      </c>
      <c r="E171" s="10">
        <v>45667.661226851851</v>
      </c>
      <c r="F171" s="10">
        <v>45667.662719907406</v>
      </c>
      <c r="G171" s="3" t="s">
        <v>629</v>
      </c>
      <c r="H171" s="10">
        <v>45667.676944444444</v>
      </c>
      <c r="I171" s="10">
        <v>45667.705590277779</v>
      </c>
      <c r="J171" s="10">
        <v>45667.706550925926</v>
      </c>
      <c r="K171" s="11">
        <f t="shared" si="4"/>
        <v>5.7986111132777296E-3</v>
      </c>
      <c r="L171" s="11">
        <f t="shared" si="5"/>
        <v>4.2870370372838806E-2</v>
      </c>
    </row>
    <row r="172" spans="1:12" x14ac:dyDescent="0.45">
      <c r="A172" s="3" t="s">
        <v>635</v>
      </c>
      <c r="B172" s="3" t="s">
        <v>194</v>
      </c>
      <c r="C172" s="10">
        <v>45667.675694444442</v>
      </c>
      <c r="D172" s="10">
        <v>45667.677800925929</v>
      </c>
      <c r="E172" s="10">
        <v>45667.687881944446</v>
      </c>
      <c r="F172" s="10">
        <v>45667.689074074071</v>
      </c>
      <c r="G172" s="3" t="s">
        <v>606</v>
      </c>
      <c r="H172" s="10">
        <v>45667.704699074071</v>
      </c>
      <c r="I172" s="10">
        <v>45667.736967592587</v>
      </c>
      <c r="J172" s="10">
        <v>45667.737962962958</v>
      </c>
      <c r="K172" s="11">
        <f t="shared" si="4"/>
        <v>1.0081018517666962E-2</v>
      </c>
      <c r="L172" s="11">
        <f t="shared" si="5"/>
        <v>4.7893518516502809E-2</v>
      </c>
    </row>
    <row r="173" spans="1:12" x14ac:dyDescent="0.45">
      <c r="A173" s="3" t="s">
        <v>637</v>
      </c>
      <c r="B173" s="3" t="s">
        <v>194</v>
      </c>
      <c r="C173" s="10">
        <v>45667.675694444442</v>
      </c>
      <c r="D173" s="10">
        <v>45667.677800925929</v>
      </c>
      <c r="E173" s="10">
        <v>45667.689074074071</v>
      </c>
      <c r="F173" s="10">
        <v>45667.690393518518</v>
      </c>
      <c r="G173" s="3" t="s">
        <v>478</v>
      </c>
      <c r="H173" s="10">
        <v>45667.703483796293</v>
      </c>
      <c r="I173" s="10">
        <v>45667.732048611113</v>
      </c>
      <c r="J173" s="10">
        <v>45667.732928240737</v>
      </c>
      <c r="K173" s="11">
        <f t="shared" si="4"/>
        <v>1.1273148142208811E-2</v>
      </c>
      <c r="L173" s="11">
        <f t="shared" si="5"/>
        <v>4.1655092594737653E-2</v>
      </c>
    </row>
    <row r="174" spans="1:12" x14ac:dyDescent="0.45">
      <c r="A174" s="3" t="s">
        <v>639</v>
      </c>
      <c r="B174" s="3" t="s">
        <v>194</v>
      </c>
      <c r="C174" s="10">
        <v>45667.675694444442</v>
      </c>
      <c r="D174" s="10">
        <v>45667.677800925929</v>
      </c>
      <c r="E174" s="10">
        <v>45667.690393518518</v>
      </c>
      <c r="F174" s="10">
        <v>45667.691620370373</v>
      </c>
      <c r="G174" s="3" t="s">
        <v>606</v>
      </c>
      <c r="H174" s="10">
        <v>45667.704699074071</v>
      </c>
      <c r="I174" s="10">
        <v>45667.736967592587</v>
      </c>
      <c r="J174" s="10">
        <v>45667.737962962958</v>
      </c>
      <c r="K174" s="11">
        <f t="shared" si="4"/>
        <v>1.2592592589498963E-2</v>
      </c>
      <c r="L174" s="11">
        <f t="shared" si="5"/>
        <v>4.534722221433185E-2</v>
      </c>
    </row>
    <row r="175" spans="1:12" x14ac:dyDescent="0.45">
      <c r="A175" s="3" t="s">
        <v>641</v>
      </c>
      <c r="B175" s="3" t="s">
        <v>195</v>
      </c>
      <c r="C175" s="10">
        <v>45667.70416666667</v>
      </c>
      <c r="D175" s="10">
        <v>45667.706053240741</v>
      </c>
      <c r="E175" s="10">
        <v>45667.71303240741</v>
      </c>
      <c r="F175" s="10">
        <v>45667.713969907411</v>
      </c>
      <c r="G175" s="3" t="s">
        <v>642</v>
      </c>
      <c r="H175" s="10">
        <v>45668.515185185177</v>
      </c>
      <c r="I175" s="10">
        <v>45668.538240740738</v>
      </c>
      <c r="J175" s="10">
        <v>45668.538958333331</v>
      </c>
      <c r="K175" s="11">
        <f t="shared" si="4"/>
        <v>6.9791666683158837E-3</v>
      </c>
      <c r="L175" s="11">
        <f t="shared" si="5"/>
        <v>0.82427083332731854</v>
      </c>
    </row>
    <row r="176" spans="1:12" x14ac:dyDescent="0.45">
      <c r="A176" s="3" t="s">
        <v>644</v>
      </c>
      <c r="B176" s="3" t="s">
        <v>195</v>
      </c>
      <c r="C176" s="10">
        <v>45667.70416666667</v>
      </c>
      <c r="D176" s="10">
        <v>45667.706053240741</v>
      </c>
      <c r="E176" s="10">
        <v>45667.713969907411</v>
      </c>
      <c r="F176" s="10">
        <v>45667.714791666673</v>
      </c>
      <c r="G176" s="3" t="s">
        <v>619</v>
      </c>
      <c r="H176" s="10">
        <v>45668.276932870373</v>
      </c>
      <c r="I176" s="10">
        <v>45668.29724537037</v>
      </c>
      <c r="J176" s="10">
        <v>45668.297962962963</v>
      </c>
      <c r="K176" s="11">
        <f t="shared" si="4"/>
        <v>7.9166666691889986E-3</v>
      </c>
      <c r="L176" s="11">
        <f t="shared" si="5"/>
        <v>0.58245370369695593</v>
      </c>
    </row>
    <row r="177" spans="1:12" x14ac:dyDescent="0.45">
      <c r="A177" s="3" t="s">
        <v>646</v>
      </c>
      <c r="B177" s="3" t="s">
        <v>195</v>
      </c>
      <c r="C177" s="10">
        <v>45667.70416666667</v>
      </c>
      <c r="D177" s="10">
        <v>45667.706053240741</v>
      </c>
      <c r="E177" s="10">
        <v>45667.714791666673</v>
      </c>
      <c r="F177" s="10">
        <v>45667.715729166674</v>
      </c>
      <c r="G177" s="3" t="s">
        <v>642</v>
      </c>
      <c r="H177" s="10">
        <v>45668.515185185177</v>
      </c>
      <c r="I177" s="10">
        <v>45668.538240740738</v>
      </c>
      <c r="J177" s="10">
        <v>45668.538958333331</v>
      </c>
      <c r="K177" s="11">
        <f t="shared" si="4"/>
        <v>8.7384259313694201E-3</v>
      </c>
      <c r="L177" s="11">
        <f t="shared" si="5"/>
        <v>0.82251157406426501</v>
      </c>
    </row>
    <row r="178" spans="1:12" x14ac:dyDescent="0.45">
      <c r="A178" s="3" t="s">
        <v>648</v>
      </c>
      <c r="B178" s="3" t="s">
        <v>196</v>
      </c>
      <c r="C178" s="10">
        <v>45667.833333333343</v>
      </c>
      <c r="D178" s="10">
        <v>45667.83525462963</v>
      </c>
      <c r="E178" s="10">
        <v>45667.84097222222</v>
      </c>
      <c r="F178" s="10">
        <v>45667.842523148152</v>
      </c>
      <c r="G178" s="3" t="s">
        <v>649</v>
      </c>
      <c r="H178" s="10">
        <v>45668.318692129629</v>
      </c>
      <c r="I178" s="10">
        <v>45668.348541666674</v>
      </c>
      <c r="J178" s="10">
        <v>45668.349340277768</v>
      </c>
      <c r="K178" s="11">
        <f t="shared" si="4"/>
        <v>5.7175925903720781E-3</v>
      </c>
      <c r="L178" s="11">
        <f t="shared" si="5"/>
        <v>0.50601851852115942</v>
      </c>
    </row>
    <row r="179" spans="1:12" x14ac:dyDescent="0.45">
      <c r="A179" s="3" t="s">
        <v>651</v>
      </c>
      <c r="B179" s="3" t="s">
        <v>196</v>
      </c>
      <c r="C179" s="10">
        <v>45667.833333333343</v>
      </c>
      <c r="D179" s="10">
        <v>45667.83525462963</v>
      </c>
      <c r="E179" s="10">
        <v>45667.84097222222</v>
      </c>
      <c r="F179" s="10">
        <v>45667.842523148152</v>
      </c>
      <c r="G179" s="3" t="s">
        <v>649</v>
      </c>
      <c r="H179" s="10">
        <v>45668.318692129629</v>
      </c>
      <c r="I179" s="10">
        <v>45668.348541666674</v>
      </c>
      <c r="J179" s="10">
        <v>45668.349340277768</v>
      </c>
      <c r="K179" s="11">
        <f t="shared" si="4"/>
        <v>5.7175925903720781E-3</v>
      </c>
      <c r="L179" s="11">
        <f t="shared" si="5"/>
        <v>0.50601851852115942</v>
      </c>
    </row>
    <row r="180" spans="1:12" x14ac:dyDescent="0.45">
      <c r="A180" s="3" t="s">
        <v>653</v>
      </c>
      <c r="B180" s="3" t="s">
        <v>196</v>
      </c>
      <c r="C180" s="10">
        <v>45667.833333333343</v>
      </c>
      <c r="D180" s="10">
        <v>45667.83525462963</v>
      </c>
      <c r="E180" s="10">
        <v>45667.842523148152</v>
      </c>
      <c r="F180" s="10">
        <v>45667.843761574077</v>
      </c>
      <c r="G180" s="3" t="s">
        <v>654</v>
      </c>
      <c r="H180" s="10">
        <v>45668.533854166657</v>
      </c>
      <c r="I180" s="10">
        <v>45668.563368055547</v>
      </c>
      <c r="J180" s="10">
        <v>45668.564328703702</v>
      </c>
      <c r="K180" s="11">
        <f t="shared" si="4"/>
        <v>7.2685185223235749E-3</v>
      </c>
      <c r="L180" s="11">
        <f t="shared" si="5"/>
        <v>0.71960648147069151</v>
      </c>
    </row>
    <row r="181" spans="1:12" x14ac:dyDescent="0.45">
      <c r="A181" s="3" t="s">
        <v>656</v>
      </c>
      <c r="B181" s="3" t="s">
        <v>197</v>
      </c>
      <c r="C181" s="10">
        <v>45667.9375</v>
      </c>
      <c r="D181" s="10">
        <v>45667.939317129632</v>
      </c>
      <c r="E181" s="10">
        <v>45667.945462962962</v>
      </c>
      <c r="F181" s="10">
        <v>45667.94667824074</v>
      </c>
      <c r="G181" s="3" t="s">
        <v>657</v>
      </c>
      <c r="H181" s="10">
        <v>45668.307291666657</v>
      </c>
      <c r="I181" s="10">
        <v>45668.33871527778</v>
      </c>
      <c r="J181" s="10">
        <v>45668.33965277778</v>
      </c>
      <c r="K181" s="11">
        <f t="shared" si="4"/>
        <v>6.1458333293558098E-3</v>
      </c>
      <c r="L181" s="11">
        <f t="shared" si="5"/>
        <v>0.3920370370396995</v>
      </c>
    </row>
    <row r="182" spans="1:12" x14ac:dyDescent="0.45">
      <c r="A182" s="3" t="s">
        <v>659</v>
      </c>
      <c r="B182" s="3" t="s">
        <v>197</v>
      </c>
      <c r="C182" s="10">
        <v>45667.9375</v>
      </c>
      <c r="D182" s="10">
        <v>45667.939317129632</v>
      </c>
      <c r="E182" s="10">
        <v>45667.94667824074</v>
      </c>
      <c r="F182" s="10">
        <v>45667.94803240741</v>
      </c>
      <c r="G182" s="3" t="s">
        <v>660</v>
      </c>
      <c r="H182" s="10">
        <v>45668.272581018522</v>
      </c>
      <c r="I182" s="10">
        <v>45668.298414351862</v>
      </c>
      <c r="J182" s="10">
        <v>45668.299293981479</v>
      </c>
      <c r="K182" s="11">
        <f t="shared" si="4"/>
        <v>7.3611111074569635E-3</v>
      </c>
      <c r="L182" s="11">
        <f t="shared" si="5"/>
        <v>0.3503819444522378</v>
      </c>
    </row>
    <row r="183" spans="1:12" x14ac:dyDescent="0.45">
      <c r="A183" s="3" t="s">
        <v>662</v>
      </c>
      <c r="B183" s="3" t="s">
        <v>197</v>
      </c>
      <c r="C183" s="10">
        <v>45667.9375</v>
      </c>
      <c r="D183" s="10">
        <v>45667.939317129632</v>
      </c>
      <c r="E183" s="10">
        <v>45667.94803240741</v>
      </c>
      <c r="F183" s="10">
        <v>45667.949247685188</v>
      </c>
      <c r="G183" s="3" t="s">
        <v>657</v>
      </c>
      <c r="H183" s="10">
        <v>45668.307291666657</v>
      </c>
      <c r="I183" s="10">
        <v>45668.33871527778</v>
      </c>
      <c r="J183" s="10">
        <v>45668.33965277778</v>
      </c>
      <c r="K183" s="11">
        <f t="shared" si="4"/>
        <v>8.7152777778101154E-3</v>
      </c>
      <c r="L183" s="11">
        <f t="shared" si="5"/>
        <v>0.38946759259124519</v>
      </c>
    </row>
    <row r="184" spans="1:12" x14ac:dyDescent="0.45">
      <c r="A184" s="3" t="s">
        <v>664</v>
      </c>
      <c r="B184" s="3" t="s">
        <v>198</v>
      </c>
      <c r="C184" s="10">
        <v>45668.25</v>
      </c>
      <c r="D184" s="10">
        <v>45668.251851851863</v>
      </c>
      <c r="E184" s="10">
        <v>45668.257106481477</v>
      </c>
      <c r="F184" s="10">
        <v>45668.258634259262</v>
      </c>
      <c r="G184" s="3" t="s">
        <v>660</v>
      </c>
      <c r="H184" s="10">
        <v>45668.272581018522</v>
      </c>
      <c r="I184" s="10">
        <v>45668.298414351862</v>
      </c>
      <c r="J184" s="10">
        <v>45668.299293981479</v>
      </c>
      <c r="K184" s="11">
        <f t="shared" si="4"/>
        <v>5.2546296137734316E-3</v>
      </c>
      <c r="L184" s="11">
        <f t="shared" si="5"/>
        <v>3.978009260026738E-2</v>
      </c>
    </row>
    <row r="185" spans="1:12" x14ac:dyDescent="0.45">
      <c r="A185" s="3" t="s">
        <v>666</v>
      </c>
      <c r="B185" s="3" t="s">
        <v>198</v>
      </c>
      <c r="C185" s="10">
        <v>45668.25</v>
      </c>
      <c r="D185" s="10">
        <v>45668.251851851863</v>
      </c>
      <c r="E185" s="10">
        <v>45668.257106481477</v>
      </c>
      <c r="F185" s="10">
        <v>45668.258634259262</v>
      </c>
      <c r="G185" s="3" t="s">
        <v>660</v>
      </c>
      <c r="H185" s="10">
        <v>45668.272581018522</v>
      </c>
      <c r="I185" s="10">
        <v>45668.298414351862</v>
      </c>
      <c r="J185" s="10">
        <v>45668.299293981479</v>
      </c>
      <c r="K185" s="11">
        <f t="shared" si="4"/>
        <v>5.2546296137734316E-3</v>
      </c>
      <c r="L185" s="11">
        <f t="shared" si="5"/>
        <v>3.978009260026738E-2</v>
      </c>
    </row>
    <row r="186" spans="1:12" x14ac:dyDescent="0.45">
      <c r="A186" s="3" t="s">
        <v>668</v>
      </c>
      <c r="B186" s="3" t="s">
        <v>199</v>
      </c>
      <c r="C186" s="10">
        <v>45668.259027777778</v>
      </c>
      <c r="D186" s="10">
        <v>45668.260914351849</v>
      </c>
      <c r="E186" s="10">
        <v>45668.267893518518</v>
      </c>
      <c r="F186" s="10">
        <v>45668.268750000003</v>
      </c>
      <c r="G186" s="3" t="s">
        <v>619</v>
      </c>
      <c r="H186" s="10">
        <v>45668.276932870373</v>
      </c>
      <c r="I186" s="10">
        <v>45668.29724537037</v>
      </c>
      <c r="J186" s="10">
        <v>45668.297962962963</v>
      </c>
      <c r="K186" s="11">
        <f t="shared" si="4"/>
        <v>6.9791666683158837E-3</v>
      </c>
      <c r="L186" s="11">
        <f t="shared" si="5"/>
        <v>2.8495370366727002E-2</v>
      </c>
    </row>
    <row r="187" spans="1:12" x14ac:dyDescent="0.45">
      <c r="A187" s="3" t="s">
        <v>670</v>
      </c>
      <c r="B187" s="3" t="s">
        <v>199</v>
      </c>
      <c r="C187" s="10">
        <v>45668.259027777778</v>
      </c>
      <c r="D187" s="10">
        <v>45668.260914351849</v>
      </c>
      <c r="E187" s="10">
        <v>45668.268750000003</v>
      </c>
      <c r="F187" s="10">
        <v>45668.269953703697</v>
      </c>
      <c r="G187" s="3" t="s">
        <v>671</v>
      </c>
      <c r="H187" s="10">
        <v>45668.902407407397</v>
      </c>
      <c r="I187" s="10">
        <v>45668.94771990741</v>
      </c>
      <c r="J187" s="10">
        <v>45668.948819444442</v>
      </c>
      <c r="K187" s="11">
        <f t="shared" si="4"/>
        <v>7.8356481535593048E-3</v>
      </c>
      <c r="L187" s="11">
        <f t="shared" si="5"/>
        <v>0.67776620371296303</v>
      </c>
    </row>
    <row r="188" spans="1:12" x14ac:dyDescent="0.45">
      <c r="A188" s="3" t="s">
        <v>673</v>
      </c>
      <c r="B188" s="3" t="s">
        <v>199</v>
      </c>
      <c r="C188" s="10">
        <v>45668.259027777778</v>
      </c>
      <c r="D188" s="10">
        <v>45668.260914351849</v>
      </c>
      <c r="E188" s="10">
        <v>45668.269953703697</v>
      </c>
      <c r="F188" s="10">
        <v>45668.271111111113</v>
      </c>
      <c r="G188" s="3" t="s">
        <v>674</v>
      </c>
      <c r="H188" s="10">
        <v>45668.294571759259</v>
      </c>
      <c r="I188" s="10">
        <v>45668.32675925926</v>
      </c>
      <c r="J188" s="10">
        <v>45668.327766203707</v>
      </c>
      <c r="K188" s="11">
        <f t="shared" si="4"/>
        <v>9.0393518476048484E-3</v>
      </c>
      <c r="L188" s="11">
        <f t="shared" si="5"/>
        <v>5.5648148147156462E-2</v>
      </c>
    </row>
    <row r="189" spans="1:12" x14ac:dyDescent="0.45">
      <c r="A189" s="3" t="s">
        <v>676</v>
      </c>
      <c r="B189" s="3" t="s">
        <v>200</v>
      </c>
      <c r="C189" s="10">
        <v>45668.271527777782</v>
      </c>
      <c r="D189" s="10">
        <v>45668.273414351846</v>
      </c>
      <c r="E189" s="10">
        <v>45668.278900462959</v>
      </c>
      <c r="F189" s="10">
        <v>45668.280243055553</v>
      </c>
      <c r="G189" s="3" t="s">
        <v>674</v>
      </c>
      <c r="H189" s="10">
        <v>45668.294571759259</v>
      </c>
      <c r="I189" s="10">
        <v>45668.32675925926</v>
      </c>
      <c r="J189" s="10">
        <v>45668.327766203707</v>
      </c>
      <c r="K189" s="11">
        <f t="shared" si="4"/>
        <v>5.4861111129866913E-3</v>
      </c>
      <c r="L189" s="11">
        <f t="shared" si="5"/>
        <v>4.6516203707142267E-2</v>
      </c>
    </row>
    <row r="190" spans="1:12" x14ac:dyDescent="0.45">
      <c r="A190" s="3" t="s">
        <v>678</v>
      </c>
      <c r="B190" s="3" t="s">
        <v>200</v>
      </c>
      <c r="C190" s="10">
        <v>45668.271527777782</v>
      </c>
      <c r="D190" s="10">
        <v>45668.273414351846</v>
      </c>
      <c r="E190" s="10">
        <v>45668.278900462959</v>
      </c>
      <c r="F190" s="10">
        <v>45668.280243055553</v>
      </c>
      <c r="G190" s="3" t="s">
        <v>674</v>
      </c>
      <c r="H190" s="10">
        <v>45668.294571759259</v>
      </c>
      <c r="I190" s="10">
        <v>45668.32675925926</v>
      </c>
      <c r="J190" s="10">
        <v>45668.327766203707</v>
      </c>
      <c r="K190" s="11">
        <f t="shared" si="4"/>
        <v>5.4861111129866913E-3</v>
      </c>
      <c r="L190" s="11">
        <f t="shared" si="5"/>
        <v>4.6516203707142267E-2</v>
      </c>
    </row>
    <row r="191" spans="1:12" x14ac:dyDescent="0.45">
      <c r="A191" s="3" t="s">
        <v>680</v>
      </c>
      <c r="B191" s="3" t="s">
        <v>200</v>
      </c>
      <c r="C191" s="10">
        <v>45668.271527777782</v>
      </c>
      <c r="D191" s="10">
        <v>45668.273414351846</v>
      </c>
      <c r="E191" s="10">
        <v>45668.278900462959</v>
      </c>
      <c r="F191" s="10">
        <v>45668.280243055553</v>
      </c>
      <c r="G191" s="3" t="s">
        <v>674</v>
      </c>
      <c r="H191" s="10">
        <v>45668.294571759259</v>
      </c>
      <c r="I191" s="10">
        <v>45668.32675925926</v>
      </c>
      <c r="J191" s="10">
        <v>45668.327766203707</v>
      </c>
      <c r="K191" s="11">
        <f t="shared" si="4"/>
        <v>5.4861111129866913E-3</v>
      </c>
      <c r="L191" s="11">
        <f t="shared" si="5"/>
        <v>4.6516203707142267E-2</v>
      </c>
    </row>
    <row r="192" spans="1:12" x14ac:dyDescent="0.45">
      <c r="A192" s="3" t="s">
        <v>682</v>
      </c>
      <c r="B192" s="3" t="s">
        <v>201</v>
      </c>
      <c r="C192" s="10">
        <v>45668.288888888892</v>
      </c>
      <c r="D192" s="10">
        <v>45668.29074074074</v>
      </c>
      <c r="E192" s="10">
        <v>45668.295844907407</v>
      </c>
      <c r="F192" s="10">
        <v>45668.297256944446</v>
      </c>
      <c r="G192" s="3" t="s">
        <v>657</v>
      </c>
      <c r="H192" s="10">
        <v>45668.307291666657</v>
      </c>
      <c r="I192" s="10">
        <v>45668.33871527778</v>
      </c>
      <c r="J192" s="10">
        <v>45668.33965277778</v>
      </c>
      <c r="K192" s="11">
        <f t="shared" si="4"/>
        <v>5.1041666665696539E-3</v>
      </c>
      <c r="L192" s="11">
        <f t="shared" si="5"/>
        <v>4.1458333333139308E-2</v>
      </c>
    </row>
    <row r="193" spans="1:12" x14ac:dyDescent="0.45">
      <c r="A193" s="3" t="s">
        <v>684</v>
      </c>
      <c r="B193" s="3" t="s">
        <v>201</v>
      </c>
      <c r="C193" s="10">
        <v>45668.288888888892</v>
      </c>
      <c r="D193" s="10">
        <v>45668.29074074074</v>
      </c>
      <c r="E193" s="10">
        <v>45668.295844907407</v>
      </c>
      <c r="F193" s="10">
        <v>45668.297256944446</v>
      </c>
      <c r="G193" s="3" t="s">
        <v>657</v>
      </c>
      <c r="H193" s="10">
        <v>45668.307291666657</v>
      </c>
      <c r="I193" s="10">
        <v>45668.33871527778</v>
      </c>
      <c r="J193" s="10">
        <v>45668.33965277778</v>
      </c>
      <c r="K193" s="11">
        <f t="shared" si="4"/>
        <v>5.1041666665696539E-3</v>
      </c>
      <c r="L193" s="11">
        <f t="shared" si="5"/>
        <v>4.1458333333139308E-2</v>
      </c>
    </row>
    <row r="194" spans="1:12" x14ac:dyDescent="0.45">
      <c r="A194" s="3" t="s">
        <v>686</v>
      </c>
      <c r="B194" s="3" t="s">
        <v>201</v>
      </c>
      <c r="C194" s="10">
        <v>45668.288888888892</v>
      </c>
      <c r="D194" s="10">
        <v>45668.29074074074</v>
      </c>
      <c r="E194" s="10">
        <v>45668.295844907407</v>
      </c>
      <c r="F194" s="10">
        <v>45668.297256944446</v>
      </c>
      <c r="G194" s="3" t="s">
        <v>657</v>
      </c>
      <c r="H194" s="10">
        <v>45668.307291666657</v>
      </c>
      <c r="I194" s="10">
        <v>45668.33871527778</v>
      </c>
      <c r="J194" s="10">
        <v>45668.33965277778</v>
      </c>
      <c r="K194" s="11">
        <f t="shared" ref="K194:K251" si="6">IF(AND(ISNUMBER(D194),ISNUMBER(E194)),(E194-D194),"")</f>
        <v>5.1041666665696539E-3</v>
      </c>
      <c r="L194" s="11">
        <f t="shared" ref="L194:L251" si="7">IF(AND(ISNUMBER(F194),ISNUMBER(I194)),(I194-F194),"")</f>
        <v>4.1458333333139308E-2</v>
      </c>
    </row>
    <row r="195" spans="1:12" x14ac:dyDescent="0.45">
      <c r="A195" s="3" t="s">
        <v>688</v>
      </c>
      <c r="B195" s="3" t="s">
        <v>202</v>
      </c>
      <c r="C195" s="10">
        <v>45668.303472222222</v>
      </c>
      <c r="D195" s="10">
        <v>45668.305324074077</v>
      </c>
      <c r="E195" s="10">
        <v>45668.312083333331</v>
      </c>
      <c r="F195" s="10">
        <v>45668.313483796293</v>
      </c>
      <c r="G195" s="3" t="s">
        <v>649</v>
      </c>
      <c r="H195" s="10">
        <v>45668.318692129629</v>
      </c>
      <c r="I195" s="10">
        <v>45668.348541666674</v>
      </c>
      <c r="J195" s="10">
        <v>45668.349340277768</v>
      </c>
      <c r="K195" s="11">
        <f t="shared" si="6"/>
        <v>6.7592592531582341E-3</v>
      </c>
      <c r="L195" s="11">
        <f t="shared" si="7"/>
        <v>3.5057870380114764E-2</v>
      </c>
    </row>
    <row r="196" spans="1:12" x14ac:dyDescent="0.45">
      <c r="A196" s="3" t="s">
        <v>690</v>
      </c>
      <c r="B196" s="3" t="s">
        <v>202</v>
      </c>
      <c r="C196" s="10">
        <v>45668.303472222222</v>
      </c>
      <c r="D196" s="10">
        <v>45668.305324074077</v>
      </c>
      <c r="E196" s="10">
        <v>45668.313483796293</v>
      </c>
      <c r="F196" s="10">
        <v>45668.314803240741</v>
      </c>
      <c r="G196" s="3" t="s">
        <v>591</v>
      </c>
      <c r="H196" s="10">
        <v>45668.542905092603</v>
      </c>
      <c r="I196" s="10">
        <v>45668.56962962963</v>
      </c>
      <c r="J196" s="10">
        <v>45668.5703587963</v>
      </c>
      <c r="K196" s="11">
        <f t="shared" si="6"/>
        <v>8.1597222160780802E-3</v>
      </c>
      <c r="L196" s="11">
        <f t="shared" si="7"/>
        <v>0.25482638888934162</v>
      </c>
    </row>
    <row r="197" spans="1:12" x14ac:dyDescent="0.45">
      <c r="A197" s="3" t="s">
        <v>692</v>
      </c>
      <c r="B197" s="3" t="s">
        <v>202</v>
      </c>
      <c r="C197" s="10">
        <v>45668.303472222222</v>
      </c>
      <c r="D197" s="10">
        <v>45668.305324074077</v>
      </c>
      <c r="E197" s="10">
        <v>45668.314803240741</v>
      </c>
      <c r="F197" s="10">
        <v>45668.315671296303</v>
      </c>
      <c r="G197" s="3" t="s">
        <v>693</v>
      </c>
      <c r="H197" s="10">
        <v>45668.542939814812</v>
      </c>
      <c r="I197" s="10">
        <v>45668.574247685188</v>
      </c>
      <c r="J197" s="10">
        <v>45668.575092592589</v>
      </c>
      <c r="K197" s="11">
        <f t="shared" si="6"/>
        <v>9.4791666633682325E-3</v>
      </c>
      <c r="L197" s="11">
        <f t="shared" si="7"/>
        <v>0.25857638888555812</v>
      </c>
    </row>
    <row r="198" spans="1:12" x14ac:dyDescent="0.45">
      <c r="A198" s="3" t="s">
        <v>695</v>
      </c>
      <c r="B198" s="3" t="s">
        <v>203</v>
      </c>
      <c r="C198" s="10">
        <v>45668.5</v>
      </c>
      <c r="D198" s="10">
        <v>45668.501851851863</v>
      </c>
      <c r="E198" s="10">
        <v>45668.507013888891</v>
      </c>
      <c r="F198" s="10">
        <v>45668.508518518523</v>
      </c>
      <c r="G198" s="3" t="s">
        <v>696</v>
      </c>
      <c r="H198" s="10">
        <v>45668.544224537043</v>
      </c>
      <c r="I198" s="10">
        <v>45668.595370370371</v>
      </c>
      <c r="J198" s="10">
        <v>45668.596134259264</v>
      </c>
      <c r="K198" s="11">
        <f t="shared" si="6"/>
        <v>5.162037028640043E-3</v>
      </c>
      <c r="L198" s="11">
        <f t="shared" si="7"/>
        <v>8.685185184731381E-2</v>
      </c>
    </row>
    <row r="199" spans="1:12" x14ac:dyDescent="0.45">
      <c r="A199" s="3" t="s">
        <v>698</v>
      </c>
      <c r="B199" s="3" t="s">
        <v>203</v>
      </c>
      <c r="C199" s="10">
        <v>45668.5</v>
      </c>
      <c r="D199" s="10">
        <v>45668.501851851863</v>
      </c>
      <c r="E199" s="10">
        <v>45668.508518518523</v>
      </c>
      <c r="F199" s="10">
        <v>45668.509421296287</v>
      </c>
      <c r="G199" s="3" t="s">
        <v>642</v>
      </c>
      <c r="H199" s="10">
        <v>45668.515185185177</v>
      </c>
      <c r="I199" s="10">
        <v>45668.538240740738</v>
      </c>
      <c r="J199" s="10">
        <v>45668.538958333331</v>
      </c>
      <c r="K199" s="11">
        <f t="shared" si="6"/>
        <v>6.6666666607488878E-3</v>
      </c>
      <c r="L199" s="11">
        <f t="shared" si="7"/>
        <v>2.881944445107365E-2</v>
      </c>
    </row>
    <row r="200" spans="1:12" x14ac:dyDescent="0.45">
      <c r="A200" s="3" t="s">
        <v>700</v>
      </c>
      <c r="B200" s="3" t="s">
        <v>204</v>
      </c>
      <c r="C200" s="10">
        <v>45668.511805555558</v>
      </c>
      <c r="D200" s="10">
        <v>45668.513726851852</v>
      </c>
      <c r="E200" s="10">
        <v>45668.519375000003</v>
      </c>
      <c r="F200" s="10">
        <v>45668.52076388889</v>
      </c>
      <c r="G200" s="3" t="s">
        <v>654</v>
      </c>
      <c r="H200" s="10">
        <v>45668.533854166657</v>
      </c>
      <c r="I200" s="10">
        <v>45668.563368055547</v>
      </c>
      <c r="J200" s="10">
        <v>45668.564328703702</v>
      </c>
      <c r="K200" s="11">
        <f t="shared" si="6"/>
        <v>5.6481481515220366E-3</v>
      </c>
      <c r="L200" s="11">
        <f t="shared" si="7"/>
        <v>4.2604166657838505E-2</v>
      </c>
    </row>
    <row r="201" spans="1:12" x14ac:dyDescent="0.45">
      <c r="A201" s="3" t="s">
        <v>702</v>
      </c>
      <c r="B201" s="3" t="s">
        <v>204</v>
      </c>
      <c r="C201" s="10">
        <v>45668.511805555558</v>
      </c>
      <c r="D201" s="10">
        <v>45668.513726851852</v>
      </c>
      <c r="E201" s="10">
        <v>45668.519375000003</v>
      </c>
      <c r="F201" s="10">
        <v>45668.52076388889</v>
      </c>
      <c r="G201" s="3" t="s">
        <v>654</v>
      </c>
      <c r="H201" s="10">
        <v>45668.533854166657</v>
      </c>
      <c r="I201" s="10">
        <v>45668.563368055547</v>
      </c>
      <c r="J201" s="10">
        <v>45668.564328703702</v>
      </c>
      <c r="K201" s="11">
        <f t="shared" si="6"/>
        <v>5.6481481515220366E-3</v>
      </c>
      <c r="L201" s="11">
        <f t="shared" si="7"/>
        <v>4.2604166657838505E-2</v>
      </c>
    </row>
    <row r="202" spans="1:12" x14ac:dyDescent="0.45">
      <c r="A202" s="3" t="s">
        <v>704</v>
      </c>
      <c r="B202" s="3" t="s">
        <v>204</v>
      </c>
      <c r="C202" s="10">
        <v>45668.511805555558</v>
      </c>
      <c r="D202" s="10">
        <v>45668.513726851852</v>
      </c>
      <c r="E202" s="10">
        <v>45668.52076388889</v>
      </c>
      <c r="F202" s="10">
        <v>45668.521956018521</v>
      </c>
      <c r="G202" s="3" t="s">
        <v>671</v>
      </c>
      <c r="H202" s="10">
        <v>45668.902407407397</v>
      </c>
      <c r="I202" s="10">
        <v>45668.94771990741</v>
      </c>
      <c r="J202" s="10">
        <v>45668.948819444442</v>
      </c>
      <c r="K202" s="11">
        <f t="shared" si="6"/>
        <v>7.0370370376622304E-3</v>
      </c>
      <c r="L202" s="11">
        <f t="shared" si="7"/>
        <v>0.4257638888884685</v>
      </c>
    </row>
    <row r="203" spans="1:12" x14ac:dyDescent="0.45">
      <c r="A203" s="3" t="s">
        <v>706</v>
      </c>
      <c r="B203" s="3" t="s">
        <v>205</v>
      </c>
      <c r="C203" s="10">
        <v>45668.521527777782</v>
      </c>
      <c r="D203" s="10">
        <v>45668.522939814808</v>
      </c>
      <c r="E203" s="10">
        <v>45668.528090277781</v>
      </c>
      <c r="F203" s="10">
        <v>45668.529074074067</v>
      </c>
      <c r="G203" s="3" t="s">
        <v>693</v>
      </c>
      <c r="H203" s="10">
        <v>45668.542939814812</v>
      </c>
      <c r="I203" s="10">
        <v>45668.574247685188</v>
      </c>
      <c r="J203" s="10">
        <v>45668.575092592589</v>
      </c>
      <c r="K203" s="11">
        <f t="shared" si="6"/>
        <v>5.1504629736882634E-3</v>
      </c>
      <c r="L203" s="11">
        <f t="shared" si="7"/>
        <v>4.5173611120844726E-2</v>
      </c>
    </row>
    <row r="204" spans="1:12" x14ac:dyDescent="0.45">
      <c r="A204" s="3" t="s">
        <v>708</v>
      </c>
      <c r="B204" s="3" t="s">
        <v>205</v>
      </c>
      <c r="C204" s="10">
        <v>45668.521527777782</v>
      </c>
      <c r="D204" s="10">
        <v>45668.522939814808</v>
      </c>
      <c r="E204" s="10">
        <v>45668.528090277781</v>
      </c>
      <c r="F204" s="10">
        <v>45668.529074074067</v>
      </c>
      <c r="G204" s="3" t="s">
        <v>693</v>
      </c>
      <c r="H204" s="10">
        <v>45668.542939814812</v>
      </c>
      <c r="I204" s="10">
        <v>45668.574247685188</v>
      </c>
      <c r="J204" s="10">
        <v>45668.575092592589</v>
      </c>
      <c r="K204" s="11">
        <f t="shared" si="6"/>
        <v>5.1504629736882634E-3</v>
      </c>
      <c r="L204" s="11">
        <f t="shared" si="7"/>
        <v>4.5173611120844726E-2</v>
      </c>
    </row>
    <row r="205" spans="1:12" x14ac:dyDescent="0.45">
      <c r="A205" s="3" t="s">
        <v>710</v>
      </c>
      <c r="B205" s="3" t="s">
        <v>206</v>
      </c>
      <c r="C205" s="10">
        <v>45668.525000000001</v>
      </c>
      <c r="D205" s="10">
        <v>45668.526886574073</v>
      </c>
      <c r="E205" s="10">
        <v>45668.534085648149</v>
      </c>
      <c r="F205" s="10">
        <v>45668.535451388889</v>
      </c>
      <c r="G205" s="3" t="s">
        <v>591</v>
      </c>
      <c r="H205" s="10">
        <v>45668.542905092603</v>
      </c>
      <c r="I205" s="10">
        <v>45668.56962962963</v>
      </c>
      <c r="J205" s="10">
        <v>45668.5703587963</v>
      </c>
      <c r="K205" s="11">
        <f t="shared" si="6"/>
        <v>7.1990740761975758E-3</v>
      </c>
      <c r="L205" s="11">
        <f t="shared" si="7"/>
        <v>3.4178240741312038E-2</v>
      </c>
    </row>
    <row r="206" spans="1:12" x14ac:dyDescent="0.45">
      <c r="A206" s="3" t="s">
        <v>712</v>
      </c>
      <c r="B206" s="3" t="s">
        <v>206</v>
      </c>
      <c r="C206" s="10">
        <v>45668.525000000001</v>
      </c>
      <c r="D206" s="10">
        <v>45668.526886574073</v>
      </c>
      <c r="E206" s="10">
        <v>45668.535451388889</v>
      </c>
      <c r="F206" s="10">
        <v>45668.536851851852</v>
      </c>
      <c r="G206" s="3" t="s">
        <v>696</v>
      </c>
      <c r="H206" s="10">
        <v>45668.544224537043</v>
      </c>
      <c r="I206" s="10">
        <v>45668.595370370371</v>
      </c>
      <c r="J206" s="10">
        <v>45668.596134259264</v>
      </c>
      <c r="K206" s="11">
        <f t="shared" si="6"/>
        <v>8.5648148160544224E-3</v>
      </c>
      <c r="L206" s="11">
        <f t="shared" si="7"/>
        <v>5.8518518519122154E-2</v>
      </c>
    </row>
    <row r="207" spans="1:12" x14ac:dyDescent="0.45">
      <c r="A207" s="3" t="s">
        <v>714</v>
      </c>
      <c r="B207" s="3" t="s">
        <v>206</v>
      </c>
      <c r="C207" s="10">
        <v>45668.525000000001</v>
      </c>
      <c r="D207" s="10">
        <v>45668.526886574073</v>
      </c>
      <c r="E207" s="10">
        <v>45668.536851851852</v>
      </c>
      <c r="F207" s="10">
        <v>45668.538101851853</v>
      </c>
      <c r="G207" s="3" t="s">
        <v>715</v>
      </c>
      <c r="H207" s="10">
        <v>45669.359305555547</v>
      </c>
      <c r="I207" s="10">
        <v>45669.387939814813</v>
      </c>
      <c r="J207" s="10">
        <v>45669.388842592591</v>
      </c>
      <c r="K207" s="11">
        <f t="shared" si="6"/>
        <v>9.9652777789742686E-3</v>
      </c>
      <c r="L207" s="11">
        <f t="shared" si="7"/>
        <v>0.84983796296000946</v>
      </c>
    </row>
    <row r="208" spans="1:12" x14ac:dyDescent="0.45">
      <c r="A208" s="3" t="s">
        <v>717</v>
      </c>
      <c r="B208" s="3" t="s">
        <v>207</v>
      </c>
      <c r="C208" s="10">
        <v>45668.536111111112</v>
      </c>
      <c r="D208" s="10">
        <v>45668.537743055553</v>
      </c>
      <c r="E208" s="10">
        <v>45668.547164351847</v>
      </c>
      <c r="F208" s="10">
        <v>45668.548645833333</v>
      </c>
      <c r="G208" s="3" t="s">
        <v>718</v>
      </c>
      <c r="H208" s="10">
        <v>45668.584421296298</v>
      </c>
      <c r="I208" s="10">
        <v>45668.61582175926</v>
      </c>
      <c r="J208" s="10">
        <v>45668.616770833331</v>
      </c>
      <c r="K208" s="11">
        <f t="shared" si="6"/>
        <v>9.4212962940218858E-3</v>
      </c>
      <c r="L208" s="11">
        <f t="shared" si="7"/>
        <v>6.7175925927585922E-2</v>
      </c>
    </row>
    <row r="209" spans="1:12" x14ac:dyDescent="0.45">
      <c r="A209" s="3" t="s">
        <v>720</v>
      </c>
      <c r="B209" s="3" t="s">
        <v>207</v>
      </c>
      <c r="C209" s="10">
        <v>45668.536111111112</v>
      </c>
      <c r="D209" s="10">
        <v>45668.537743055553</v>
      </c>
      <c r="E209" s="10">
        <v>45668.547164351847</v>
      </c>
      <c r="F209" s="10">
        <v>45668.548645833333</v>
      </c>
      <c r="G209" s="3" t="s">
        <v>718</v>
      </c>
      <c r="H209" s="10">
        <v>45668.584421296298</v>
      </c>
      <c r="I209" s="10">
        <v>45668.61582175926</v>
      </c>
      <c r="J209" s="10">
        <v>45668.616770833331</v>
      </c>
      <c r="K209" s="11">
        <f t="shared" si="6"/>
        <v>9.4212962940218858E-3</v>
      </c>
      <c r="L209" s="11">
        <f t="shared" si="7"/>
        <v>6.7175925927585922E-2</v>
      </c>
    </row>
    <row r="210" spans="1:12" x14ac:dyDescent="0.45">
      <c r="A210" s="3" t="s">
        <v>722</v>
      </c>
      <c r="B210" s="3" t="s">
        <v>207</v>
      </c>
      <c r="C210" s="10">
        <v>45668.536111111112</v>
      </c>
      <c r="D210" s="10">
        <v>45668.537743055553</v>
      </c>
      <c r="E210" s="10">
        <v>45668.548645833333</v>
      </c>
      <c r="F210" s="10">
        <v>45668.549756944441</v>
      </c>
      <c r="G210" s="3" t="s">
        <v>723</v>
      </c>
      <c r="H210" s="10">
        <v>45669.444837962961</v>
      </c>
      <c r="I210" s="10">
        <v>45669.467905092592</v>
      </c>
      <c r="J210" s="10">
        <v>45669.4687962963</v>
      </c>
      <c r="K210" s="11">
        <f t="shared" si="6"/>
        <v>1.0902777779847383E-2</v>
      </c>
      <c r="L210" s="11">
        <f t="shared" si="7"/>
        <v>0.91814814815006685</v>
      </c>
    </row>
    <row r="211" spans="1:12" x14ac:dyDescent="0.45">
      <c r="A211" s="3" t="s">
        <v>725</v>
      </c>
      <c r="B211" s="3" t="s">
        <v>207</v>
      </c>
      <c r="C211" s="10">
        <v>45668.536111111112</v>
      </c>
      <c r="D211" s="10">
        <v>45668.537743055553</v>
      </c>
      <c r="E211" s="10">
        <v>45668.549756944441</v>
      </c>
      <c r="F211" s="10">
        <v>45668.551203703697</v>
      </c>
      <c r="G211" s="3" t="s">
        <v>718</v>
      </c>
      <c r="H211" s="10">
        <v>45668.584421296298</v>
      </c>
      <c r="I211" s="10">
        <v>45668.61582175926</v>
      </c>
      <c r="J211" s="10">
        <v>45668.616770833331</v>
      </c>
      <c r="K211" s="11">
        <f t="shared" si="6"/>
        <v>1.2013888888759539E-2</v>
      </c>
      <c r="L211" s="11">
        <f t="shared" si="7"/>
        <v>6.4618055563187227E-2</v>
      </c>
    </row>
    <row r="212" spans="1:12" x14ac:dyDescent="0.45">
      <c r="A212" s="3" t="s">
        <v>727</v>
      </c>
      <c r="B212" s="3" t="s">
        <v>208</v>
      </c>
      <c r="C212" s="10">
        <v>45668.544444444437</v>
      </c>
      <c r="D212" s="10">
        <v>45668.546261574083</v>
      </c>
      <c r="E212" s="10">
        <v>45668.552083333343</v>
      </c>
      <c r="F212" s="10">
        <v>45668.553020833337</v>
      </c>
      <c r="G212" s="3" t="s">
        <v>728</v>
      </c>
      <c r="H212" s="10">
        <v>45668.900173611109</v>
      </c>
      <c r="I212" s="10">
        <v>45668.920486111107</v>
      </c>
      <c r="J212" s="10">
        <v>45668.921168981477</v>
      </c>
      <c r="K212" s="11">
        <f t="shared" si="6"/>
        <v>5.8217592595610768E-3</v>
      </c>
      <c r="L212" s="11">
        <f t="shared" si="7"/>
        <v>0.36746527776995208</v>
      </c>
    </row>
    <row r="213" spans="1:12" x14ac:dyDescent="0.45">
      <c r="A213" s="3" t="s">
        <v>730</v>
      </c>
      <c r="B213" s="3" t="s">
        <v>208</v>
      </c>
      <c r="C213" s="10">
        <v>45668.544444444437</v>
      </c>
      <c r="D213" s="10">
        <v>45668.546261574083</v>
      </c>
      <c r="E213" s="10">
        <v>45668.553020833337</v>
      </c>
      <c r="F213" s="10">
        <v>45668.554097222222</v>
      </c>
      <c r="G213" s="3" t="s">
        <v>731</v>
      </c>
      <c r="H213" s="10">
        <v>45669.417337962957</v>
      </c>
      <c r="I213" s="10">
        <v>45669.440428240741</v>
      </c>
      <c r="J213" s="10">
        <v>45669.44127314815</v>
      </c>
      <c r="K213" s="11">
        <f t="shared" si="6"/>
        <v>6.7592592531582341E-3</v>
      </c>
      <c r="L213" s="11">
        <f t="shared" si="7"/>
        <v>0.88633101851883112</v>
      </c>
    </row>
    <row r="214" spans="1:12" x14ac:dyDescent="0.45">
      <c r="A214" s="3" t="s">
        <v>733</v>
      </c>
      <c r="B214" s="3" t="s">
        <v>209</v>
      </c>
      <c r="C214" s="10">
        <v>45668.75</v>
      </c>
      <c r="D214" s="10">
        <v>45668.751770833333</v>
      </c>
      <c r="E214" s="10">
        <v>45668.756504629629</v>
      </c>
      <c r="F214" s="10">
        <v>45668.757696759261</v>
      </c>
      <c r="G214" s="3" t="s">
        <v>671</v>
      </c>
      <c r="H214" s="10">
        <v>45668.902407407397</v>
      </c>
      <c r="I214" s="10">
        <v>45668.94771990741</v>
      </c>
      <c r="J214" s="10">
        <v>45668.948819444442</v>
      </c>
      <c r="K214" s="11">
        <f t="shared" si="6"/>
        <v>4.7337962969322689E-3</v>
      </c>
      <c r="L214" s="11">
        <f t="shared" si="7"/>
        <v>0.19002314814861165</v>
      </c>
    </row>
    <row r="215" spans="1:12" x14ac:dyDescent="0.45">
      <c r="A215" s="3" t="s">
        <v>735</v>
      </c>
      <c r="B215" s="3" t="s">
        <v>209</v>
      </c>
      <c r="C215" s="10">
        <v>45668.75</v>
      </c>
      <c r="D215" s="10">
        <v>45668.751770833333</v>
      </c>
      <c r="E215" s="10">
        <v>45668.757696759261</v>
      </c>
      <c r="F215" s="10">
        <v>45668.758564814823</v>
      </c>
      <c r="G215" s="3" t="s">
        <v>736</v>
      </c>
      <c r="H215" s="10">
        <v>45669.358576388891</v>
      </c>
      <c r="I215" s="10">
        <v>45669.384444444448</v>
      </c>
      <c r="J215" s="10">
        <v>45669.385243055563</v>
      </c>
      <c r="K215" s="11">
        <f t="shared" si="6"/>
        <v>5.9259259287500754E-3</v>
      </c>
      <c r="L215" s="11">
        <f t="shared" si="7"/>
        <v>0.62587962962425081</v>
      </c>
    </row>
    <row r="216" spans="1:12" x14ac:dyDescent="0.45">
      <c r="A216" s="3" t="s">
        <v>738</v>
      </c>
      <c r="B216" s="3" t="s">
        <v>210</v>
      </c>
      <c r="C216" s="10">
        <v>45668.875</v>
      </c>
      <c r="D216" s="10">
        <v>45668.877291666657</v>
      </c>
      <c r="E216" s="10">
        <v>45668.888553240737</v>
      </c>
      <c r="F216" s="10">
        <v>45668.889525462961</v>
      </c>
      <c r="G216" s="3" t="s">
        <v>728</v>
      </c>
      <c r="H216" s="10">
        <v>45668.900173611109</v>
      </c>
      <c r="I216" s="10">
        <v>45668.920486111107</v>
      </c>
      <c r="J216" s="10">
        <v>45668.921168981477</v>
      </c>
      <c r="K216" s="11">
        <f t="shared" si="6"/>
        <v>1.1261574079981074E-2</v>
      </c>
      <c r="L216" s="11">
        <f t="shared" si="7"/>
        <v>3.0960648145992309E-2</v>
      </c>
    </row>
    <row r="217" spans="1:12" x14ac:dyDescent="0.45">
      <c r="A217" s="3" t="s">
        <v>740</v>
      </c>
      <c r="B217" s="3" t="s">
        <v>210</v>
      </c>
      <c r="C217" s="10">
        <v>45668.875</v>
      </c>
      <c r="D217" s="10">
        <v>45668.877291666657</v>
      </c>
      <c r="E217" s="10">
        <v>45668.889525462961</v>
      </c>
      <c r="F217" s="10">
        <v>45668.891018518523</v>
      </c>
      <c r="G217" s="3" t="s">
        <v>671</v>
      </c>
      <c r="H217" s="10">
        <v>45668.902407407397</v>
      </c>
      <c r="I217" s="10">
        <v>45668.94771990741</v>
      </c>
      <c r="J217" s="10">
        <v>45668.948819444442</v>
      </c>
      <c r="K217" s="11">
        <f t="shared" si="6"/>
        <v>1.2233796303917188E-2</v>
      </c>
      <c r="L217" s="11">
        <f t="shared" si="7"/>
        <v>5.670138888672227E-2</v>
      </c>
    </row>
    <row r="218" spans="1:12" x14ac:dyDescent="0.45">
      <c r="A218" s="3" t="s">
        <v>742</v>
      </c>
      <c r="B218" s="3" t="s">
        <v>210</v>
      </c>
      <c r="C218" s="10">
        <v>45668.875</v>
      </c>
      <c r="D218" s="10">
        <v>45668.877291666657</v>
      </c>
      <c r="E218" s="10">
        <v>45668.889525462961</v>
      </c>
      <c r="F218" s="10">
        <v>45668.891018518523</v>
      </c>
      <c r="G218" s="3" t="s">
        <v>671</v>
      </c>
      <c r="H218" s="10">
        <v>45668.902407407397</v>
      </c>
      <c r="I218" s="10">
        <v>45668.94771990741</v>
      </c>
      <c r="J218" s="10">
        <v>45668.948819444442</v>
      </c>
      <c r="K218" s="11">
        <f t="shared" si="6"/>
        <v>1.2233796303917188E-2</v>
      </c>
      <c r="L218" s="11">
        <f t="shared" si="7"/>
        <v>5.670138888672227E-2</v>
      </c>
    </row>
    <row r="219" spans="1:12" x14ac:dyDescent="0.45">
      <c r="A219" s="3" t="s">
        <v>744</v>
      </c>
      <c r="B219" s="3" t="s">
        <v>210</v>
      </c>
      <c r="C219" s="10">
        <v>45668.875</v>
      </c>
      <c r="D219" s="10">
        <v>45668.877291666657</v>
      </c>
      <c r="E219" s="10">
        <v>45668.889525462961</v>
      </c>
      <c r="F219" s="10">
        <v>45668.891018518523</v>
      </c>
      <c r="G219" s="3" t="s">
        <v>671</v>
      </c>
      <c r="H219" s="10">
        <v>45668.902407407397</v>
      </c>
      <c r="I219" s="10">
        <v>45668.94771990741</v>
      </c>
      <c r="J219" s="10">
        <v>45668.948819444442</v>
      </c>
      <c r="K219" s="11">
        <f t="shared" si="6"/>
        <v>1.2233796303917188E-2</v>
      </c>
      <c r="L219" s="11">
        <f t="shared" si="7"/>
        <v>5.670138888672227E-2</v>
      </c>
    </row>
    <row r="220" spans="1:12" x14ac:dyDescent="0.45">
      <c r="A220" s="3" t="s">
        <v>746</v>
      </c>
      <c r="B220" s="3" t="s">
        <v>210</v>
      </c>
      <c r="C220" s="10">
        <v>45668.875</v>
      </c>
      <c r="D220" s="10">
        <v>45668.877291666657</v>
      </c>
      <c r="E220" s="10">
        <v>45668.891018518523</v>
      </c>
      <c r="F220" s="10">
        <v>45668.892453703702</v>
      </c>
      <c r="G220" s="3" t="s">
        <v>747</v>
      </c>
      <c r="H220" s="10">
        <v>45669.513761574082</v>
      </c>
      <c r="I220" s="10">
        <v>45669.539629629631</v>
      </c>
      <c r="J220" s="10">
        <v>45669.540358796286</v>
      </c>
      <c r="K220" s="11">
        <f t="shared" si="6"/>
        <v>1.3726851866522338E-2</v>
      </c>
      <c r="L220" s="11">
        <f t="shared" si="7"/>
        <v>0.64717592592933215</v>
      </c>
    </row>
    <row r="221" spans="1:12" x14ac:dyDescent="0.45">
      <c r="A221" s="3" t="s">
        <v>749</v>
      </c>
      <c r="B221" s="3" t="s">
        <v>211</v>
      </c>
      <c r="C221" s="10">
        <v>45668.979166666657</v>
      </c>
      <c r="D221" s="10">
        <v>45668.981122685182</v>
      </c>
      <c r="E221" s="10">
        <v>45668.987037037034</v>
      </c>
      <c r="F221" s="10">
        <v>45668.988159722219</v>
      </c>
      <c r="G221" s="3" t="s">
        <v>750</v>
      </c>
      <c r="H221" s="10">
        <v>45668.997210648151</v>
      </c>
      <c r="I221" s="10">
        <v>45669.020300925928</v>
      </c>
      <c r="J221" s="10">
        <v>45669.02103009259</v>
      </c>
      <c r="K221" s="11">
        <f t="shared" si="6"/>
        <v>5.914351851970423E-3</v>
      </c>
      <c r="L221" s="11">
        <f t="shared" si="7"/>
        <v>3.2141203708306421E-2</v>
      </c>
    </row>
    <row r="222" spans="1:12" x14ac:dyDescent="0.45">
      <c r="A222" s="3" t="s">
        <v>752</v>
      </c>
      <c r="B222" s="3" t="s">
        <v>211</v>
      </c>
      <c r="C222" s="10">
        <v>45668.979166666657</v>
      </c>
      <c r="D222" s="10">
        <v>45668.981122685182</v>
      </c>
      <c r="E222" s="10">
        <v>45668.987037037034</v>
      </c>
      <c r="F222" s="10">
        <v>45668.988159722219</v>
      </c>
      <c r="G222" s="3" t="s">
        <v>750</v>
      </c>
      <c r="H222" s="10">
        <v>45668.997210648151</v>
      </c>
      <c r="I222" s="10">
        <v>45669.020300925928</v>
      </c>
      <c r="J222" s="10">
        <v>45669.02103009259</v>
      </c>
      <c r="K222" s="11">
        <f t="shared" si="6"/>
        <v>5.914351851970423E-3</v>
      </c>
      <c r="L222" s="11">
        <f t="shared" si="7"/>
        <v>3.2141203708306421E-2</v>
      </c>
    </row>
    <row r="223" spans="1:12" x14ac:dyDescent="0.45">
      <c r="A223" s="3" t="s">
        <v>754</v>
      </c>
      <c r="B223" s="3" t="s">
        <v>211</v>
      </c>
      <c r="C223" s="10">
        <v>45668.979166666657</v>
      </c>
      <c r="D223" s="10">
        <v>45668.981122685182</v>
      </c>
      <c r="E223" s="10">
        <v>45668.988159722219</v>
      </c>
      <c r="F223" s="10">
        <v>45668.989560185182</v>
      </c>
      <c r="G223" s="3" t="s">
        <v>755</v>
      </c>
      <c r="H223" s="10">
        <v>45669.813726851848</v>
      </c>
      <c r="I223" s="10">
        <v>45669.847928240742</v>
      </c>
      <c r="J223" s="10">
        <v>45669.848877314813</v>
      </c>
      <c r="K223" s="11">
        <f t="shared" si="6"/>
        <v>7.0370370376622304E-3</v>
      </c>
      <c r="L223" s="11">
        <f t="shared" si="7"/>
        <v>0.85836805556027684</v>
      </c>
    </row>
    <row r="224" spans="1:12" x14ac:dyDescent="0.45">
      <c r="A224" s="3" t="s">
        <v>757</v>
      </c>
      <c r="B224" s="3" t="s">
        <v>212</v>
      </c>
      <c r="C224" s="10">
        <v>45669.333333333343</v>
      </c>
      <c r="D224" s="10">
        <v>45669.335405092592</v>
      </c>
      <c r="E224" s="10">
        <v>45669.346863425933</v>
      </c>
      <c r="F224" s="10">
        <v>45669.348078703697</v>
      </c>
      <c r="G224" s="3" t="s">
        <v>715</v>
      </c>
      <c r="H224" s="10">
        <v>45669.359305555547</v>
      </c>
      <c r="I224" s="10">
        <v>45669.387939814813</v>
      </c>
      <c r="J224" s="10">
        <v>45669.388842592591</v>
      </c>
      <c r="K224" s="11">
        <f t="shared" si="6"/>
        <v>1.1458333341579419E-2</v>
      </c>
      <c r="L224" s="11">
        <f t="shared" si="7"/>
        <v>3.9861111115897074E-2</v>
      </c>
    </row>
    <row r="225" spans="1:12" x14ac:dyDescent="0.45">
      <c r="A225" s="3" t="s">
        <v>759</v>
      </c>
      <c r="B225" s="3" t="s">
        <v>212</v>
      </c>
      <c r="C225" s="10">
        <v>45669.333333333343</v>
      </c>
      <c r="D225" s="10">
        <v>45669.335405092592</v>
      </c>
      <c r="E225" s="10">
        <v>45669.348078703697</v>
      </c>
      <c r="F225" s="10">
        <v>45669.348946759259</v>
      </c>
      <c r="G225" s="3" t="s">
        <v>736</v>
      </c>
      <c r="H225" s="10">
        <v>45669.358576388891</v>
      </c>
      <c r="I225" s="10">
        <v>45669.384444444448</v>
      </c>
      <c r="J225" s="10">
        <v>45669.385243055563</v>
      </c>
      <c r="K225" s="11">
        <f t="shared" si="6"/>
        <v>1.2673611105128657E-2</v>
      </c>
      <c r="L225" s="11">
        <f t="shared" si="7"/>
        <v>3.549768518860219E-2</v>
      </c>
    </row>
    <row r="226" spans="1:12" x14ac:dyDescent="0.45">
      <c r="A226" s="3" t="s">
        <v>761</v>
      </c>
      <c r="B226" s="3" t="s">
        <v>212</v>
      </c>
      <c r="C226" s="10">
        <v>45669.333333333343</v>
      </c>
      <c r="D226" s="10">
        <v>45669.335405092592</v>
      </c>
      <c r="E226" s="10">
        <v>45669.348946759259</v>
      </c>
      <c r="F226" s="10">
        <v>45669.350266203714</v>
      </c>
      <c r="G226" s="3" t="s">
        <v>715</v>
      </c>
      <c r="H226" s="10">
        <v>45669.359305555547</v>
      </c>
      <c r="I226" s="10">
        <v>45669.387939814813</v>
      </c>
      <c r="J226" s="10">
        <v>45669.388842592591</v>
      </c>
      <c r="K226" s="11">
        <f t="shared" si="6"/>
        <v>1.3541666667151731E-2</v>
      </c>
      <c r="L226" s="11">
        <f t="shared" si="7"/>
        <v>3.7673611099307891E-2</v>
      </c>
    </row>
    <row r="227" spans="1:12" x14ac:dyDescent="0.45">
      <c r="A227" s="3" t="s">
        <v>763</v>
      </c>
      <c r="B227" s="3" t="s">
        <v>212</v>
      </c>
      <c r="C227" s="10">
        <v>45669.333333333343</v>
      </c>
      <c r="D227" s="10">
        <v>45669.335405092592</v>
      </c>
      <c r="E227" s="10">
        <v>45669.348946759259</v>
      </c>
      <c r="F227" s="10">
        <v>45669.350266203714</v>
      </c>
      <c r="G227" s="3" t="s">
        <v>715</v>
      </c>
      <c r="H227" s="10">
        <v>45669.359305555547</v>
      </c>
      <c r="I227" s="10">
        <v>45669.387939814813</v>
      </c>
      <c r="J227" s="10">
        <v>45669.388842592591</v>
      </c>
      <c r="K227" s="11">
        <f t="shared" si="6"/>
        <v>1.3541666667151731E-2</v>
      </c>
      <c r="L227" s="11">
        <f t="shared" si="7"/>
        <v>3.7673611099307891E-2</v>
      </c>
    </row>
    <row r="228" spans="1:12" x14ac:dyDescent="0.45">
      <c r="A228" s="3" t="s">
        <v>765</v>
      </c>
      <c r="B228" s="3" t="s">
        <v>212</v>
      </c>
      <c r="C228" s="10">
        <v>45669.333333333343</v>
      </c>
      <c r="D228" s="10">
        <v>45669.335405092592</v>
      </c>
      <c r="E228" s="10">
        <v>45669.350266203714</v>
      </c>
      <c r="F228" s="10">
        <v>45669.351134259261</v>
      </c>
      <c r="G228" s="3" t="s">
        <v>736</v>
      </c>
      <c r="H228" s="10">
        <v>45669.358576388891</v>
      </c>
      <c r="I228" s="10">
        <v>45669.384444444448</v>
      </c>
      <c r="J228" s="10">
        <v>45669.385243055563</v>
      </c>
      <c r="K228" s="11">
        <f t="shared" si="6"/>
        <v>1.486111112171784E-2</v>
      </c>
      <c r="L228" s="11">
        <f t="shared" si="7"/>
        <v>3.3310185186564922E-2</v>
      </c>
    </row>
    <row r="229" spans="1:12" x14ac:dyDescent="0.45">
      <c r="A229" s="3" t="s">
        <v>767</v>
      </c>
      <c r="B229" s="3" t="s">
        <v>213</v>
      </c>
      <c r="C229" s="10">
        <v>45669.392361111109</v>
      </c>
      <c r="D229" s="10">
        <v>45669.394363425927</v>
      </c>
      <c r="E229" s="10">
        <v>45669.403113425928</v>
      </c>
      <c r="F229" s="10">
        <v>45669.404270833344</v>
      </c>
      <c r="G229" s="3" t="s">
        <v>731</v>
      </c>
      <c r="H229" s="10">
        <v>45669.417337962957</v>
      </c>
      <c r="I229" s="10">
        <v>45669.440428240741</v>
      </c>
      <c r="J229" s="10">
        <v>45669.44127314815</v>
      </c>
      <c r="K229" s="11">
        <f t="shared" si="6"/>
        <v>8.7500000008731149E-3</v>
      </c>
      <c r="L229" s="11">
        <f t="shared" si="7"/>
        <v>3.6157407397695351E-2</v>
      </c>
    </row>
    <row r="230" spans="1:12" x14ac:dyDescent="0.45">
      <c r="A230" s="3" t="s">
        <v>769</v>
      </c>
      <c r="B230" s="3" t="s">
        <v>213</v>
      </c>
      <c r="C230" s="10">
        <v>45669.392361111109</v>
      </c>
      <c r="D230" s="10">
        <v>45669.394363425927</v>
      </c>
      <c r="E230" s="10">
        <v>45669.404270833344</v>
      </c>
      <c r="F230" s="10">
        <v>45669.405717592592</v>
      </c>
      <c r="G230" s="3" t="s">
        <v>755</v>
      </c>
      <c r="H230" s="10">
        <v>45669.813726851848</v>
      </c>
      <c r="I230" s="10">
        <v>45669.847928240742</v>
      </c>
      <c r="J230" s="10">
        <v>45669.848877314813</v>
      </c>
      <c r="K230" s="11">
        <f t="shared" si="6"/>
        <v>9.9074074169038795E-3</v>
      </c>
      <c r="L230" s="11">
        <f t="shared" si="7"/>
        <v>0.44221064815064892</v>
      </c>
    </row>
    <row r="231" spans="1:12" x14ac:dyDescent="0.45">
      <c r="A231" s="3" t="s">
        <v>771</v>
      </c>
      <c r="B231" s="3" t="s">
        <v>213</v>
      </c>
      <c r="C231" s="10">
        <v>45669.392361111109</v>
      </c>
      <c r="D231" s="10">
        <v>45669.394363425927</v>
      </c>
      <c r="E231" s="10">
        <v>45669.405717592592</v>
      </c>
      <c r="F231" s="10">
        <v>45669.406574074077</v>
      </c>
      <c r="G231" s="3"/>
      <c r="H231" s="10"/>
      <c r="I231" s="10"/>
      <c r="J231" s="10"/>
      <c r="K231" s="11">
        <f t="shared" si="6"/>
        <v>1.1354166665114462E-2</v>
      </c>
      <c r="L231" s="11" t="str">
        <f t="shared" si="7"/>
        <v/>
      </c>
    </row>
    <row r="232" spans="1:12" x14ac:dyDescent="0.45">
      <c r="A232" s="3" t="s">
        <v>772</v>
      </c>
      <c r="B232" s="3" t="s">
        <v>214</v>
      </c>
      <c r="C232" s="10">
        <v>45669.422222222223</v>
      </c>
      <c r="D232" s="10">
        <v>45669.424108796287</v>
      </c>
      <c r="E232" s="10">
        <v>45669.430960648147</v>
      </c>
      <c r="F232" s="10">
        <v>45669.43209490741</v>
      </c>
      <c r="G232" s="3" t="s">
        <v>723</v>
      </c>
      <c r="H232" s="10">
        <v>45669.444837962961</v>
      </c>
      <c r="I232" s="10">
        <v>45669.467905092592</v>
      </c>
      <c r="J232" s="10">
        <v>45669.4687962963</v>
      </c>
      <c r="K232" s="11">
        <f t="shared" si="6"/>
        <v>6.8518518601194955E-3</v>
      </c>
      <c r="L232" s="11">
        <f t="shared" si="7"/>
        <v>3.5810185181617271E-2</v>
      </c>
    </row>
    <row r="233" spans="1:12" x14ac:dyDescent="0.45">
      <c r="A233" s="3" t="s">
        <v>774</v>
      </c>
      <c r="B233" s="3" t="s">
        <v>214</v>
      </c>
      <c r="C233" s="10">
        <v>45669.422222222223</v>
      </c>
      <c r="D233" s="10">
        <v>45669.424108796287</v>
      </c>
      <c r="E233" s="10">
        <v>45669.43209490741</v>
      </c>
      <c r="F233" s="10">
        <v>45669.432986111111</v>
      </c>
      <c r="G233" s="3"/>
      <c r="H233" s="10"/>
      <c r="I233" s="10"/>
      <c r="J233" s="10"/>
      <c r="K233" s="11">
        <f t="shared" si="6"/>
        <v>7.9861111225909553E-3</v>
      </c>
      <c r="L233" s="11" t="str">
        <f t="shared" si="7"/>
        <v/>
      </c>
    </row>
    <row r="234" spans="1:12" x14ac:dyDescent="0.45">
      <c r="A234" s="3" t="s">
        <v>775</v>
      </c>
      <c r="B234" s="3" t="s">
        <v>214</v>
      </c>
      <c r="C234" s="10">
        <v>45669.422222222223</v>
      </c>
      <c r="D234" s="10">
        <v>45669.424108796287</v>
      </c>
      <c r="E234" s="10">
        <v>45669.432986111111</v>
      </c>
      <c r="F234" s="10">
        <v>45669.434189814812</v>
      </c>
      <c r="G234" s="3" t="s">
        <v>723</v>
      </c>
      <c r="H234" s="10">
        <v>45669.444837962961</v>
      </c>
      <c r="I234" s="10">
        <v>45669.467905092592</v>
      </c>
      <c r="J234" s="10">
        <v>45669.4687962963</v>
      </c>
      <c r="K234" s="11">
        <f t="shared" si="6"/>
        <v>8.8773148236214183E-3</v>
      </c>
      <c r="L234" s="11">
        <f t="shared" si="7"/>
        <v>3.3715277779265307E-2</v>
      </c>
    </row>
    <row r="235" spans="1:12" x14ac:dyDescent="0.45">
      <c r="A235" s="3" t="s">
        <v>777</v>
      </c>
      <c r="B235" s="3" t="s">
        <v>215</v>
      </c>
      <c r="C235" s="10">
        <v>45669.457638888889</v>
      </c>
      <c r="D235" s="10">
        <v>45669.459641203714</v>
      </c>
      <c r="E235" s="10">
        <v>45669.468391203707</v>
      </c>
      <c r="F235" s="10">
        <v>45669.469699074078</v>
      </c>
      <c r="G235" s="3" t="s">
        <v>778</v>
      </c>
      <c r="H235" s="10">
        <v>45669.482523148137</v>
      </c>
      <c r="I235" s="10">
        <v>45669.508391203701</v>
      </c>
      <c r="J235" s="10">
        <v>45669.509317129632</v>
      </c>
      <c r="K235" s="11">
        <f t="shared" si="6"/>
        <v>8.7499999935971573E-3</v>
      </c>
      <c r="L235" s="11">
        <f t="shared" si="7"/>
        <v>3.8692129623086657E-2</v>
      </c>
    </row>
    <row r="236" spans="1:12" x14ac:dyDescent="0.45">
      <c r="A236" s="3" t="s">
        <v>780</v>
      </c>
      <c r="B236" s="3" t="s">
        <v>215</v>
      </c>
      <c r="C236" s="10">
        <v>45669.457638888889</v>
      </c>
      <c r="D236" s="10">
        <v>45669.459641203714</v>
      </c>
      <c r="E236" s="10">
        <v>45669.469699074078</v>
      </c>
      <c r="F236" s="10">
        <v>45669.470601851863</v>
      </c>
      <c r="G236" s="3"/>
      <c r="H236" s="10"/>
      <c r="I236" s="10"/>
      <c r="J236" s="10"/>
      <c r="K236" s="11">
        <f t="shared" si="6"/>
        <v>1.0057870364107657E-2</v>
      </c>
      <c r="L236" s="11" t="str">
        <f t="shared" si="7"/>
        <v/>
      </c>
    </row>
    <row r="237" spans="1:12" x14ac:dyDescent="0.45">
      <c r="A237" s="3" t="s">
        <v>781</v>
      </c>
      <c r="B237" s="3" t="s">
        <v>215</v>
      </c>
      <c r="C237" s="10">
        <v>45669.457638888889</v>
      </c>
      <c r="D237" s="10">
        <v>45669.459641203714</v>
      </c>
      <c r="E237" s="10">
        <v>45669.470601851863</v>
      </c>
      <c r="F237" s="10">
        <v>45669.471875000003</v>
      </c>
      <c r="G237" s="3" t="s">
        <v>778</v>
      </c>
      <c r="H237" s="10">
        <v>45669.482523148137</v>
      </c>
      <c r="I237" s="10">
        <v>45669.508391203701</v>
      </c>
      <c r="J237" s="10">
        <v>45669.509317129632</v>
      </c>
      <c r="K237" s="11">
        <f t="shared" si="6"/>
        <v>1.096064814919373E-2</v>
      </c>
      <c r="L237" s="11">
        <f t="shared" si="7"/>
        <v>3.6516203697829042E-2</v>
      </c>
    </row>
    <row r="238" spans="1:12" x14ac:dyDescent="0.45">
      <c r="A238" s="3" t="s">
        <v>783</v>
      </c>
      <c r="B238" s="3" t="s">
        <v>216</v>
      </c>
      <c r="C238" s="10">
        <v>45669.491666666669</v>
      </c>
      <c r="D238" s="10">
        <v>45669.493668981479</v>
      </c>
      <c r="E238" s="10">
        <v>45669.50172453704</v>
      </c>
      <c r="F238" s="10">
        <v>45669.503125000003</v>
      </c>
      <c r="G238" s="3" t="s">
        <v>747</v>
      </c>
      <c r="H238" s="10">
        <v>45669.513761574082</v>
      </c>
      <c r="I238" s="10">
        <v>45669.539629629631</v>
      </c>
      <c r="J238" s="10">
        <v>45669.540358796286</v>
      </c>
      <c r="K238" s="11">
        <f t="shared" si="6"/>
        <v>8.0555555614409968E-3</v>
      </c>
      <c r="L238" s="11">
        <f t="shared" si="7"/>
        <v>3.6504629628325347E-2</v>
      </c>
    </row>
    <row r="239" spans="1:12" x14ac:dyDescent="0.45">
      <c r="A239" s="3" t="s">
        <v>785</v>
      </c>
      <c r="B239" s="3" t="s">
        <v>216</v>
      </c>
      <c r="C239" s="10">
        <v>45669.491666666669</v>
      </c>
      <c r="D239" s="10">
        <v>45669.493668981479</v>
      </c>
      <c r="E239" s="10">
        <v>45669.503125000003</v>
      </c>
      <c r="F239" s="10">
        <v>45669.504374999997</v>
      </c>
      <c r="G239" s="3"/>
      <c r="H239" s="10"/>
      <c r="I239" s="10"/>
      <c r="J239" s="10"/>
      <c r="K239" s="11">
        <f t="shared" si="6"/>
        <v>9.456018524360843E-3</v>
      </c>
      <c r="L239" s="11" t="str">
        <f t="shared" si="7"/>
        <v/>
      </c>
    </row>
    <row r="240" spans="1:12" x14ac:dyDescent="0.45">
      <c r="A240" s="3" t="s">
        <v>786</v>
      </c>
      <c r="B240" s="3" t="s">
        <v>216</v>
      </c>
      <c r="C240" s="10">
        <v>45669.491666666669</v>
      </c>
      <c r="D240" s="10">
        <v>45669.493668981479</v>
      </c>
      <c r="E240" s="10">
        <v>45669.504374999997</v>
      </c>
      <c r="F240" s="10">
        <v>45669.505798611113</v>
      </c>
      <c r="G240" s="3" t="s">
        <v>787</v>
      </c>
      <c r="H240" s="10">
        <v>45669.685972222222</v>
      </c>
      <c r="I240" s="10">
        <v>45669.706284722219</v>
      </c>
      <c r="J240" s="10">
        <v>45669.707083333327</v>
      </c>
      <c r="K240" s="11">
        <f t="shared" si="6"/>
        <v>1.0706018518249039E-2</v>
      </c>
      <c r="L240" s="11">
        <f t="shared" si="7"/>
        <v>0.2004861111054197</v>
      </c>
    </row>
    <row r="241" spans="1:12" x14ac:dyDescent="0.45">
      <c r="A241" s="3" t="s">
        <v>789</v>
      </c>
      <c r="B241" s="3" t="s">
        <v>217</v>
      </c>
      <c r="C241" s="10">
        <v>45669.666666666657</v>
      </c>
      <c r="D241" s="10">
        <v>45669.668587962973</v>
      </c>
      <c r="E241" s="10">
        <v>45669.676400462973</v>
      </c>
      <c r="F241" s="10">
        <v>45669.677789351852</v>
      </c>
      <c r="G241" s="3" t="s">
        <v>787</v>
      </c>
      <c r="H241" s="10">
        <v>45669.685972222222</v>
      </c>
      <c r="I241" s="10">
        <v>45669.706284722219</v>
      </c>
      <c r="J241" s="10">
        <v>45669.707083333327</v>
      </c>
      <c r="K241" s="11">
        <f t="shared" si="6"/>
        <v>7.8125E-3</v>
      </c>
      <c r="L241" s="11">
        <f t="shared" si="7"/>
        <v>2.8495370366727002E-2</v>
      </c>
    </row>
    <row r="242" spans="1:12" x14ac:dyDescent="0.45">
      <c r="A242" s="3" t="s">
        <v>791</v>
      </c>
      <c r="B242" s="3" t="s">
        <v>217</v>
      </c>
      <c r="C242" s="10">
        <v>45669.666666666657</v>
      </c>
      <c r="D242" s="10">
        <v>45669.668587962973</v>
      </c>
      <c r="E242" s="10">
        <v>45669.677789351852</v>
      </c>
      <c r="F242" s="10">
        <v>45669.679108796299</v>
      </c>
      <c r="G242" s="3" t="s">
        <v>792</v>
      </c>
      <c r="H242" s="10">
        <v>45669.941388888888</v>
      </c>
      <c r="I242" s="10">
        <v>45669.995011574072</v>
      </c>
      <c r="J242" s="10">
        <v>45669.996111111112</v>
      </c>
      <c r="K242" s="11">
        <f t="shared" si="6"/>
        <v>9.2013888788642362E-3</v>
      </c>
      <c r="L242" s="11">
        <f t="shared" si="7"/>
        <v>0.31590277777286246</v>
      </c>
    </row>
    <row r="243" spans="1:12" x14ac:dyDescent="0.45">
      <c r="A243" s="3" t="s">
        <v>794</v>
      </c>
      <c r="B243" s="3" t="s">
        <v>217</v>
      </c>
      <c r="C243" s="10">
        <v>45669.666666666657</v>
      </c>
      <c r="D243" s="10">
        <v>45669.668587962973</v>
      </c>
      <c r="E243" s="10">
        <v>45669.679108796299</v>
      </c>
      <c r="F243" s="10">
        <v>45669.680381944447</v>
      </c>
      <c r="G243" s="3"/>
      <c r="H243" s="10"/>
      <c r="I243" s="10"/>
      <c r="J243" s="10"/>
      <c r="K243" s="11">
        <f t="shared" si="6"/>
        <v>1.0520833326154388E-2</v>
      </c>
      <c r="L243" s="11" t="str">
        <f t="shared" si="7"/>
        <v/>
      </c>
    </row>
    <row r="244" spans="1:12" x14ac:dyDescent="0.45">
      <c r="A244" s="3" t="s">
        <v>795</v>
      </c>
      <c r="B244" s="3" t="s">
        <v>218</v>
      </c>
      <c r="C244" s="10">
        <v>45669.791666666657</v>
      </c>
      <c r="D244" s="10">
        <v>45669.793622685182</v>
      </c>
      <c r="E244" s="10">
        <v>45669.79928240741</v>
      </c>
      <c r="F244" s="10">
        <v>45669.80064814815</v>
      </c>
      <c r="G244" s="3" t="s">
        <v>792</v>
      </c>
      <c r="H244" s="10">
        <v>45669.941388888888</v>
      </c>
      <c r="I244" s="10">
        <v>45669.995011574072</v>
      </c>
      <c r="J244" s="10">
        <v>45669.996111111112</v>
      </c>
      <c r="K244" s="11">
        <f t="shared" si="6"/>
        <v>5.659722228301689E-3</v>
      </c>
      <c r="L244" s="11">
        <f t="shared" si="7"/>
        <v>0.19436342592234723</v>
      </c>
    </row>
    <row r="245" spans="1:12" x14ac:dyDescent="0.45">
      <c r="A245" s="3" t="s">
        <v>797</v>
      </c>
      <c r="B245" s="3" t="s">
        <v>218</v>
      </c>
      <c r="C245" s="10">
        <v>45669.791666666657</v>
      </c>
      <c r="D245" s="10">
        <v>45669.793622685182</v>
      </c>
      <c r="E245" s="10">
        <v>45669.80064814815</v>
      </c>
      <c r="F245" s="10">
        <v>45669.802233796298</v>
      </c>
      <c r="G245" s="3" t="s">
        <v>755</v>
      </c>
      <c r="H245" s="10">
        <v>45669.813726851848</v>
      </c>
      <c r="I245" s="10">
        <v>45669.847928240742</v>
      </c>
      <c r="J245" s="10">
        <v>45669.848877314813</v>
      </c>
      <c r="K245" s="11">
        <f t="shared" si="6"/>
        <v>7.0254629681585357E-3</v>
      </c>
      <c r="L245" s="11">
        <f t="shared" si="7"/>
        <v>4.5694444444961846E-2</v>
      </c>
    </row>
    <row r="246" spans="1:12" x14ac:dyDescent="0.45">
      <c r="A246" s="3" t="s">
        <v>799</v>
      </c>
      <c r="B246" s="3" t="s">
        <v>218</v>
      </c>
      <c r="C246" s="10">
        <v>45669.791666666657</v>
      </c>
      <c r="D246" s="10">
        <v>45669.793622685182</v>
      </c>
      <c r="E246" s="10">
        <v>45669.80064814815</v>
      </c>
      <c r="F246" s="10">
        <v>45669.802233796298</v>
      </c>
      <c r="G246" s="3" t="s">
        <v>755</v>
      </c>
      <c r="H246" s="10">
        <v>45669.813726851848</v>
      </c>
      <c r="I246" s="10">
        <v>45669.847928240742</v>
      </c>
      <c r="J246" s="10">
        <v>45669.848877314813</v>
      </c>
      <c r="K246" s="11">
        <f t="shared" si="6"/>
        <v>7.0254629681585357E-3</v>
      </c>
      <c r="L246" s="11">
        <f t="shared" si="7"/>
        <v>4.5694444444961846E-2</v>
      </c>
    </row>
    <row r="247" spans="1:12" x14ac:dyDescent="0.45">
      <c r="A247" s="3" t="s">
        <v>801</v>
      </c>
      <c r="B247" s="3" t="s">
        <v>219</v>
      </c>
      <c r="C247" s="10">
        <v>45669.916666666657</v>
      </c>
      <c r="D247" s="10">
        <v>45669.918773148151</v>
      </c>
      <c r="E247" s="10">
        <v>45669.925636574073</v>
      </c>
      <c r="F247" s="10">
        <v>45669.927407407413</v>
      </c>
      <c r="G247" s="3" t="s">
        <v>792</v>
      </c>
      <c r="H247" s="10">
        <v>45669.941388888888</v>
      </c>
      <c r="I247" s="10">
        <v>45669.995011574072</v>
      </c>
      <c r="J247" s="10">
        <v>45669.996111111112</v>
      </c>
      <c r="K247" s="11">
        <f t="shared" si="6"/>
        <v>6.8634259223472327E-3</v>
      </c>
      <c r="L247" s="11">
        <f t="shared" si="7"/>
        <v>6.7604166659293696E-2</v>
      </c>
    </row>
    <row r="248" spans="1:12" x14ac:dyDescent="0.45">
      <c r="A248" s="3" t="s">
        <v>803</v>
      </c>
      <c r="B248" s="3" t="s">
        <v>219</v>
      </c>
      <c r="C248" s="10">
        <v>45669.916666666657</v>
      </c>
      <c r="D248" s="10">
        <v>45669.918773148151</v>
      </c>
      <c r="E248" s="10">
        <v>45669.925636574073</v>
      </c>
      <c r="F248" s="10">
        <v>45669.927407407413</v>
      </c>
      <c r="G248" s="3" t="s">
        <v>792</v>
      </c>
      <c r="H248" s="10">
        <v>45669.941388888888</v>
      </c>
      <c r="I248" s="10">
        <v>45669.995011574072</v>
      </c>
      <c r="J248" s="10">
        <v>45669.996111111112</v>
      </c>
      <c r="K248" s="11">
        <f t="shared" si="6"/>
        <v>6.8634259223472327E-3</v>
      </c>
      <c r="L248" s="11">
        <f t="shared" si="7"/>
        <v>6.7604166659293696E-2</v>
      </c>
    </row>
    <row r="249" spans="1:12" x14ac:dyDescent="0.45">
      <c r="A249" s="3" t="s">
        <v>805</v>
      </c>
      <c r="B249" s="3" t="s">
        <v>219</v>
      </c>
      <c r="C249" s="10">
        <v>45669.916666666657</v>
      </c>
      <c r="D249" s="10">
        <v>45669.918773148151</v>
      </c>
      <c r="E249" s="10">
        <v>45669.925636574073</v>
      </c>
      <c r="F249" s="10">
        <v>45669.927407407413</v>
      </c>
      <c r="G249" s="3" t="s">
        <v>792</v>
      </c>
      <c r="H249" s="10">
        <v>45669.941388888888</v>
      </c>
      <c r="I249" s="10">
        <v>45669.995011574072</v>
      </c>
      <c r="J249" s="10">
        <v>45669.996111111112</v>
      </c>
      <c r="K249" s="11">
        <f t="shared" si="6"/>
        <v>6.8634259223472327E-3</v>
      </c>
      <c r="L249" s="11">
        <f t="shared" si="7"/>
        <v>6.7604166659293696E-2</v>
      </c>
    </row>
    <row r="250" spans="1:12" x14ac:dyDescent="0.45">
      <c r="A250" s="3" t="s">
        <v>807</v>
      </c>
      <c r="B250" s="3" t="s">
        <v>219</v>
      </c>
      <c r="C250" s="10">
        <v>45669.916666666657</v>
      </c>
      <c r="D250" s="10">
        <v>45669.918773148151</v>
      </c>
      <c r="E250" s="10">
        <v>45669.925636574073</v>
      </c>
      <c r="F250" s="10">
        <v>45669.927407407413</v>
      </c>
      <c r="G250" s="3" t="s">
        <v>792</v>
      </c>
      <c r="H250" s="10">
        <v>45669.941388888888</v>
      </c>
      <c r="I250" s="10">
        <v>45669.995011574072</v>
      </c>
      <c r="J250" s="10">
        <v>45669.996111111112</v>
      </c>
      <c r="K250" s="11">
        <f t="shared" si="6"/>
        <v>6.8634259223472327E-3</v>
      </c>
      <c r="L250" s="11">
        <f t="shared" si="7"/>
        <v>6.7604166659293696E-2</v>
      </c>
    </row>
    <row r="251" spans="1:12" x14ac:dyDescent="0.45">
      <c r="A251" s="3" t="s">
        <v>809</v>
      </c>
      <c r="B251" s="3" t="s">
        <v>219</v>
      </c>
      <c r="C251" s="10">
        <v>45669.916666666657</v>
      </c>
      <c r="D251" s="10">
        <v>45669.918773148151</v>
      </c>
      <c r="E251" s="10">
        <v>45669.925636574073</v>
      </c>
      <c r="F251" s="10">
        <v>45669.927407407413</v>
      </c>
      <c r="G251" s="3" t="s">
        <v>792</v>
      </c>
      <c r="H251" s="10">
        <v>45669.941388888888</v>
      </c>
      <c r="I251" s="10">
        <v>45669.995011574072</v>
      </c>
      <c r="J251" s="10">
        <v>45669.996111111112</v>
      </c>
      <c r="K251" s="11">
        <f t="shared" si="6"/>
        <v>6.8634259223472327E-3</v>
      </c>
      <c r="L251" s="11">
        <f t="shared" si="7"/>
        <v>6.7604166659293696E-2</v>
      </c>
    </row>
  </sheetData>
  <autoFilter ref="A1:L251" xr:uid="{00000000-0009-0000-0000-000006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04"/>
  <sheetViews>
    <sheetView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7" width="8.19921875" customWidth="1"/>
    <col min="8" max="10" width="19" customWidth="1"/>
    <col min="11" max="12" width="8.19921875" customWidth="1"/>
  </cols>
  <sheetData>
    <row r="1" spans="1:12" ht="45" customHeight="1" x14ac:dyDescent="0.45">
      <c r="A1" s="1" t="s">
        <v>863</v>
      </c>
      <c r="B1" s="1" t="s">
        <v>864</v>
      </c>
      <c r="C1" s="1" t="s">
        <v>865</v>
      </c>
      <c r="D1" s="1" t="s">
        <v>126</v>
      </c>
      <c r="E1" s="1" t="s">
        <v>824</v>
      </c>
      <c r="F1" s="1" t="s">
        <v>825</v>
      </c>
      <c r="G1" s="1" t="s">
        <v>866</v>
      </c>
      <c r="H1" s="1" t="s">
        <v>867</v>
      </c>
      <c r="I1" s="1" t="s">
        <v>868</v>
      </c>
      <c r="J1" s="1" t="s">
        <v>869</v>
      </c>
      <c r="K1" s="1" t="s">
        <v>83</v>
      </c>
      <c r="L1" s="1" t="s">
        <v>870</v>
      </c>
    </row>
    <row r="2" spans="1:12" x14ac:dyDescent="0.45">
      <c r="A2" s="3" t="s">
        <v>837</v>
      </c>
      <c r="B2" s="3" t="s">
        <v>871</v>
      </c>
      <c r="C2" s="3" t="s">
        <v>138</v>
      </c>
      <c r="D2" s="9">
        <v>224</v>
      </c>
      <c r="E2" s="3" t="s">
        <v>838</v>
      </c>
      <c r="F2" s="3" t="s">
        <v>139</v>
      </c>
      <c r="G2" s="9">
        <v>766.25</v>
      </c>
      <c r="H2" s="10">
        <v>45663.208333333343</v>
      </c>
      <c r="I2" s="10">
        <v>45663.208333333343</v>
      </c>
      <c r="J2" s="10">
        <v>45663.210439814808</v>
      </c>
      <c r="K2" s="11">
        <v>2.1064814814814809E-3</v>
      </c>
      <c r="L2" s="13"/>
    </row>
    <row r="3" spans="1:12" x14ac:dyDescent="0.45">
      <c r="A3" s="3" t="s">
        <v>837</v>
      </c>
      <c r="B3" s="3" t="s">
        <v>872</v>
      </c>
      <c r="C3" s="3" t="s">
        <v>140</v>
      </c>
      <c r="D3" s="9">
        <v>208</v>
      </c>
      <c r="E3" s="3" t="s">
        <v>838</v>
      </c>
      <c r="F3" s="3" t="s">
        <v>141</v>
      </c>
      <c r="G3" s="9">
        <v>556.20000000000005</v>
      </c>
      <c r="H3" s="10">
        <v>45663.208333333343</v>
      </c>
      <c r="I3" s="10">
        <v>45663.208333333343</v>
      </c>
      <c r="J3" s="10">
        <v>45663.209965277783</v>
      </c>
      <c r="K3" s="11">
        <v>1.631944444444445E-3</v>
      </c>
      <c r="L3" s="13"/>
    </row>
    <row r="4" spans="1:12" x14ac:dyDescent="0.45">
      <c r="A4" s="3" t="s">
        <v>837</v>
      </c>
      <c r="B4" s="3" t="s">
        <v>873</v>
      </c>
      <c r="C4" s="3" t="s">
        <v>142</v>
      </c>
      <c r="D4" s="9">
        <v>160</v>
      </c>
      <c r="E4" s="3" t="s">
        <v>838</v>
      </c>
      <c r="F4" s="3" t="s">
        <v>139</v>
      </c>
      <c r="G4" s="9">
        <v>766.25</v>
      </c>
      <c r="H4" s="10">
        <v>45663.3125</v>
      </c>
      <c r="I4" s="10">
        <v>45663.3125</v>
      </c>
      <c r="J4" s="10">
        <v>45663.314456018517</v>
      </c>
      <c r="K4" s="11">
        <v>1.956018518518518E-3</v>
      </c>
      <c r="L4" s="13"/>
    </row>
    <row r="5" spans="1:12" x14ac:dyDescent="0.45">
      <c r="A5" s="3" t="s">
        <v>837</v>
      </c>
      <c r="B5" s="3" t="s">
        <v>874</v>
      </c>
      <c r="C5" s="3" t="s">
        <v>143</v>
      </c>
      <c r="D5" s="9">
        <v>96</v>
      </c>
      <c r="E5" s="3" t="s">
        <v>838</v>
      </c>
      <c r="F5" s="3" t="s">
        <v>139</v>
      </c>
      <c r="G5" s="9">
        <v>766.25</v>
      </c>
      <c r="H5" s="10">
        <v>45663.46875</v>
      </c>
      <c r="I5" s="10">
        <v>45663.46875</v>
      </c>
      <c r="J5" s="10">
        <v>45663.470567129632</v>
      </c>
      <c r="K5" s="11">
        <v>1.8171296296296299E-3</v>
      </c>
      <c r="L5" s="13"/>
    </row>
    <row r="6" spans="1:12" x14ac:dyDescent="0.45">
      <c r="A6" s="3" t="s">
        <v>837</v>
      </c>
      <c r="B6" s="3" t="s">
        <v>875</v>
      </c>
      <c r="C6" s="3" t="s">
        <v>144</v>
      </c>
      <c r="D6" s="9">
        <v>176</v>
      </c>
      <c r="E6" s="3" t="s">
        <v>838</v>
      </c>
      <c r="F6" s="3" t="s">
        <v>139</v>
      </c>
      <c r="G6" s="9">
        <v>766.25</v>
      </c>
      <c r="H6" s="10">
        <v>45663.614583333343</v>
      </c>
      <c r="I6" s="10">
        <v>45663.614583333343</v>
      </c>
      <c r="J6" s="10">
        <v>45663.616585648153</v>
      </c>
      <c r="K6" s="11">
        <v>2.0023148148148148E-3</v>
      </c>
      <c r="L6" s="13"/>
    </row>
    <row r="7" spans="1:12" x14ac:dyDescent="0.45">
      <c r="A7" s="3" t="s">
        <v>837</v>
      </c>
      <c r="B7" s="3" t="s">
        <v>876</v>
      </c>
      <c r="C7" s="3" t="s">
        <v>145</v>
      </c>
      <c r="D7" s="9">
        <v>160</v>
      </c>
      <c r="E7" s="3" t="s">
        <v>838</v>
      </c>
      <c r="F7" s="3" t="s">
        <v>139</v>
      </c>
      <c r="G7" s="9">
        <v>766.25</v>
      </c>
      <c r="H7" s="10">
        <v>45664.25</v>
      </c>
      <c r="I7" s="10">
        <v>45664.25</v>
      </c>
      <c r="J7" s="10">
        <v>45664.251956018517</v>
      </c>
      <c r="K7" s="11">
        <v>1.956018518518518E-3</v>
      </c>
      <c r="L7" s="13"/>
    </row>
    <row r="8" spans="1:12" x14ac:dyDescent="0.45">
      <c r="A8" s="3" t="s">
        <v>837</v>
      </c>
      <c r="B8" s="3" t="s">
        <v>877</v>
      </c>
      <c r="C8" s="3" t="s">
        <v>146</v>
      </c>
      <c r="D8" s="9">
        <v>128</v>
      </c>
      <c r="E8" s="3" t="s">
        <v>838</v>
      </c>
      <c r="F8" s="3" t="s">
        <v>141</v>
      </c>
      <c r="G8" s="9">
        <v>556.20000000000005</v>
      </c>
      <c r="H8" s="10">
        <v>45664.260416666657</v>
      </c>
      <c r="I8" s="10">
        <v>45664.260416666657</v>
      </c>
      <c r="J8" s="10">
        <v>45664.261863425927</v>
      </c>
      <c r="K8" s="11">
        <v>1.446759259259259E-3</v>
      </c>
      <c r="L8" s="13"/>
    </row>
    <row r="9" spans="1:12" x14ac:dyDescent="0.45">
      <c r="A9" s="3" t="s">
        <v>837</v>
      </c>
      <c r="B9" s="3" t="s">
        <v>878</v>
      </c>
      <c r="C9" s="3" t="s">
        <v>147</v>
      </c>
      <c r="D9" s="9">
        <v>224</v>
      </c>
      <c r="E9" s="3" t="s">
        <v>838</v>
      </c>
      <c r="F9" s="3" t="s">
        <v>139</v>
      </c>
      <c r="G9" s="9">
        <v>766.25</v>
      </c>
      <c r="H9" s="10">
        <v>45664.265277777777</v>
      </c>
      <c r="I9" s="10">
        <v>45664.265277777777</v>
      </c>
      <c r="J9" s="10">
        <v>45664.267384259263</v>
      </c>
      <c r="K9" s="11">
        <v>2.1064814814814809E-3</v>
      </c>
      <c r="L9" s="13"/>
    </row>
    <row r="10" spans="1:12" x14ac:dyDescent="0.45">
      <c r="A10" s="3" t="s">
        <v>837</v>
      </c>
      <c r="B10" s="3" t="s">
        <v>879</v>
      </c>
      <c r="C10" s="3" t="s">
        <v>148</v>
      </c>
      <c r="D10" s="9">
        <v>128</v>
      </c>
      <c r="E10" s="3" t="s">
        <v>838</v>
      </c>
      <c r="F10" s="3" t="s">
        <v>141</v>
      </c>
      <c r="G10" s="9">
        <v>556.20000000000005</v>
      </c>
      <c r="H10" s="10">
        <v>45664.275694444441</v>
      </c>
      <c r="I10" s="10">
        <v>45664.275694444441</v>
      </c>
      <c r="J10" s="10">
        <v>45664.277141203696</v>
      </c>
      <c r="K10" s="11">
        <v>1.446759259259259E-3</v>
      </c>
      <c r="L10" s="13"/>
    </row>
    <row r="11" spans="1:12" x14ac:dyDescent="0.45">
      <c r="A11" s="3" t="s">
        <v>837</v>
      </c>
      <c r="B11" s="3" t="s">
        <v>880</v>
      </c>
      <c r="C11" s="3" t="s">
        <v>149</v>
      </c>
      <c r="D11" s="9">
        <v>96</v>
      </c>
      <c r="E11" s="3" t="s">
        <v>838</v>
      </c>
      <c r="F11" s="3" t="s">
        <v>139</v>
      </c>
      <c r="G11" s="9">
        <v>766.25</v>
      </c>
      <c r="H11" s="10">
        <v>45664.284722222219</v>
      </c>
      <c r="I11" s="10">
        <v>45664.284722222219</v>
      </c>
      <c r="J11" s="10">
        <v>45664.286539351851</v>
      </c>
      <c r="K11" s="11">
        <v>1.8171296296296299E-3</v>
      </c>
      <c r="L11" s="13"/>
    </row>
    <row r="12" spans="1:12" x14ac:dyDescent="0.45">
      <c r="A12" s="3" t="s">
        <v>837</v>
      </c>
      <c r="B12" s="3" t="s">
        <v>881</v>
      </c>
      <c r="C12" s="3" t="s">
        <v>150</v>
      </c>
      <c r="D12" s="9">
        <v>192</v>
      </c>
      <c r="E12" s="3" t="s">
        <v>838</v>
      </c>
      <c r="F12" s="3" t="s">
        <v>141</v>
      </c>
      <c r="G12" s="9">
        <v>556.20000000000005</v>
      </c>
      <c r="H12" s="10">
        <v>45664.292361111111</v>
      </c>
      <c r="I12" s="10">
        <v>45664.292361111111</v>
      </c>
      <c r="J12" s="10">
        <v>45664.293958333343</v>
      </c>
      <c r="K12" s="11">
        <v>1.5972222222222221E-3</v>
      </c>
      <c r="L12" s="13"/>
    </row>
    <row r="13" spans="1:12" x14ac:dyDescent="0.45">
      <c r="A13" s="3" t="s">
        <v>837</v>
      </c>
      <c r="B13" s="3" t="s">
        <v>882</v>
      </c>
      <c r="C13" s="3" t="s">
        <v>151</v>
      </c>
      <c r="D13" s="9">
        <v>128</v>
      </c>
      <c r="E13" s="3" t="s">
        <v>838</v>
      </c>
      <c r="F13" s="3" t="s">
        <v>139</v>
      </c>
      <c r="G13" s="9">
        <v>766.25</v>
      </c>
      <c r="H13" s="10">
        <v>45664.541666666657</v>
      </c>
      <c r="I13" s="10">
        <v>45664.541666666657</v>
      </c>
      <c r="J13" s="10">
        <v>45664.543553240743</v>
      </c>
      <c r="K13" s="11">
        <v>1.8865740740740739E-3</v>
      </c>
      <c r="L13" s="13"/>
    </row>
    <row r="14" spans="1:12" x14ac:dyDescent="0.45">
      <c r="A14" s="3" t="s">
        <v>837</v>
      </c>
      <c r="B14" s="3" t="s">
        <v>883</v>
      </c>
      <c r="C14" s="3" t="s">
        <v>152</v>
      </c>
      <c r="D14" s="9">
        <v>80</v>
      </c>
      <c r="E14" s="3" t="s">
        <v>838</v>
      </c>
      <c r="F14" s="3" t="s">
        <v>139</v>
      </c>
      <c r="G14" s="9">
        <v>766.25</v>
      </c>
      <c r="H14" s="10">
        <v>45664.6875</v>
      </c>
      <c r="I14" s="10">
        <v>45664.6875</v>
      </c>
      <c r="J14" s="10">
        <v>45664.689270833333</v>
      </c>
      <c r="K14" s="11">
        <v>1.770833333333333E-3</v>
      </c>
      <c r="L14" s="13"/>
    </row>
    <row r="15" spans="1:12" x14ac:dyDescent="0.45">
      <c r="A15" s="3" t="s">
        <v>837</v>
      </c>
      <c r="B15" s="3" t="s">
        <v>884</v>
      </c>
      <c r="C15" s="3" t="s">
        <v>153</v>
      </c>
      <c r="D15" s="9">
        <v>64</v>
      </c>
      <c r="E15" s="3" t="s">
        <v>838</v>
      </c>
      <c r="F15" s="3" t="s">
        <v>154</v>
      </c>
      <c r="G15" s="9">
        <v>587.14</v>
      </c>
      <c r="H15" s="10">
        <v>45664.833333333343</v>
      </c>
      <c r="I15" s="10">
        <v>45664.833333333343</v>
      </c>
      <c r="J15" s="10">
        <v>45664.834699074083</v>
      </c>
      <c r="K15" s="11">
        <v>1.3657407407407409E-3</v>
      </c>
      <c r="L15" s="13"/>
    </row>
    <row r="16" spans="1:12" x14ac:dyDescent="0.45">
      <c r="A16" s="3" t="s">
        <v>837</v>
      </c>
      <c r="B16" s="3" t="s">
        <v>885</v>
      </c>
      <c r="C16" s="3" t="s">
        <v>155</v>
      </c>
      <c r="D16" s="9">
        <v>192</v>
      </c>
      <c r="E16" s="3" t="s">
        <v>838</v>
      </c>
      <c r="F16" s="3" t="s">
        <v>139</v>
      </c>
      <c r="G16" s="9">
        <v>766.25</v>
      </c>
      <c r="H16" s="10">
        <v>45665.229166666657</v>
      </c>
      <c r="I16" s="10">
        <v>45665.229166666657</v>
      </c>
      <c r="J16" s="10">
        <v>45665.231203703697</v>
      </c>
      <c r="K16" s="11">
        <v>2.0370370370370369E-3</v>
      </c>
      <c r="L16" s="13"/>
    </row>
    <row r="17" spans="1:12" x14ac:dyDescent="0.45">
      <c r="A17" s="3" t="s">
        <v>837</v>
      </c>
      <c r="B17" s="3" t="s">
        <v>886</v>
      </c>
      <c r="C17" s="3" t="s">
        <v>156</v>
      </c>
      <c r="D17" s="9">
        <v>64</v>
      </c>
      <c r="E17" s="3" t="s">
        <v>838</v>
      </c>
      <c r="F17" s="3" t="s">
        <v>154</v>
      </c>
      <c r="G17" s="9">
        <v>587.14</v>
      </c>
      <c r="H17" s="10">
        <v>45665.229166666657</v>
      </c>
      <c r="I17" s="10">
        <v>45665.229166666657</v>
      </c>
      <c r="J17" s="10">
        <v>45665.230532407397</v>
      </c>
      <c r="K17" s="11">
        <v>1.3657407407407409E-3</v>
      </c>
      <c r="L17" s="13"/>
    </row>
    <row r="18" spans="1:12" x14ac:dyDescent="0.45">
      <c r="A18" s="3" t="s">
        <v>837</v>
      </c>
      <c r="B18" s="3" t="s">
        <v>887</v>
      </c>
      <c r="C18" s="3" t="s">
        <v>157</v>
      </c>
      <c r="D18" s="9">
        <v>96</v>
      </c>
      <c r="E18" s="3" t="s">
        <v>838</v>
      </c>
      <c r="F18" s="3" t="s">
        <v>141</v>
      </c>
      <c r="G18" s="9">
        <v>556.20000000000005</v>
      </c>
      <c r="H18" s="10">
        <v>45665.229166666657</v>
      </c>
      <c r="I18" s="10">
        <v>45665.229166666657</v>
      </c>
      <c r="J18" s="10">
        <v>45665.230543981481</v>
      </c>
      <c r="K18" s="11">
        <v>1.3773148148148149E-3</v>
      </c>
      <c r="L18" s="13"/>
    </row>
    <row r="19" spans="1:12" x14ac:dyDescent="0.45">
      <c r="A19" s="3" t="s">
        <v>837</v>
      </c>
      <c r="B19" s="3" t="s">
        <v>888</v>
      </c>
      <c r="C19" s="3" t="s">
        <v>158</v>
      </c>
      <c r="D19" s="9">
        <v>176</v>
      </c>
      <c r="E19" s="3" t="s">
        <v>838</v>
      </c>
      <c r="F19" s="3" t="s">
        <v>139</v>
      </c>
      <c r="G19" s="9">
        <v>766.25</v>
      </c>
      <c r="H19" s="10">
        <v>45665.375</v>
      </c>
      <c r="I19" s="10">
        <v>45665.375</v>
      </c>
      <c r="J19" s="10">
        <v>45665.377002314817</v>
      </c>
      <c r="K19" s="11">
        <v>2.0023148148148148E-3</v>
      </c>
      <c r="L19" s="13"/>
    </row>
    <row r="20" spans="1:12" x14ac:dyDescent="0.45">
      <c r="A20" s="3" t="s">
        <v>837</v>
      </c>
      <c r="B20" s="3" t="s">
        <v>889</v>
      </c>
      <c r="C20" s="3" t="s">
        <v>159</v>
      </c>
      <c r="D20" s="9">
        <v>144</v>
      </c>
      <c r="E20" s="3" t="s">
        <v>838</v>
      </c>
      <c r="F20" s="3" t="s">
        <v>141</v>
      </c>
      <c r="G20" s="9">
        <v>556.20000000000005</v>
      </c>
      <c r="H20" s="10">
        <v>45665.380555555559</v>
      </c>
      <c r="I20" s="10">
        <v>45665.380555555559</v>
      </c>
      <c r="J20" s="10">
        <v>45665.382037037038</v>
      </c>
      <c r="K20" s="11">
        <v>1.481481481481481E-3</v>
      </c>
      <c r="L20" s="13"/>
    </row>
    <row r="21" spans="1:12" x14ac:dyDescent="0.45">
      <c r="A21" s="3" t="s">
        <v>837</v>
      </c>
      <c r="B21" s="3" t="s">
        <v>890</v>
      </c>
      <c r="C21" s="3" t="s">
        <v>160</v>
      </c>
      <c r="D21" s="9">
        <v>192</v>
      </c>
      <c r="E21" s="3" t="s">
        <v>838</v>
      </c>
      <c r="F21" s="3" t="s">
        <v>139</v>
      </c>
      <c r="G21" s="9">
        <v>766.25</v>
      </c>
      <c r="H21" s="10">
        <v>45665.396527777782</v>
      </c>
      <c r="I21" s="10">
        <v>45665.396527777782</v>
      </c>
      <c r="J21" s="10">
        <v>45665.398564814823</v>
      </c>
      <c r="K21" s="11">
        <v>2.0370370370370369E-3</v>
      </c>
      <c r="L21" s="13"/>
    </row>
    <row r="22" spans="1:12" x14ac:dyDescent="0.45">
      <c r="A22" s="3" t="s">
        <v>837</v>
      </c>
      <c r="B22" s="3" t="s">
        <v>891</v>
      </c>
      <c r="C22" s="3" t="s">
        <v>161</v>
      </c>
      <c r="D22" s="9">
        <v>160</v>
      </c>
      <c r="E22" s="3" t="s">
        <v>838</v>
      </c>
      <c r="F22" s="3" t="s">
        <v>141</v>
      </c>
      <c r="G22" s="9">
        <v>556.20000000000005</v>
      </c>
      <c r="H22" s="10">
        <v>45665.402777777781</v>
      </c>
      <c r="I22" s="10">
        <v>45665.402777777781</v>
      </c>
      <c r="J22" s="10">
        <v>45665.404305555552</v>
      </c>
      <c r="K22" s="11">
        <v>1.5277777777777781E-3</v>
      </c>
      <c r="L22" s="13"/>
    </row>
    <row r="23" spans="1:12" x14ac:dyDescent="0.45">
      <c r="A23" s="3" t="s">
        <v>837</v>
      </c>
      <c r="B23" s="3" t="s">
        <v>892</v>
      </c>
      <c r="C23" s="3" t="s">
        <v>162</v>
      </c>
      <c r="D23" s="9">
        <v>256</v>
      </c>
      <c r="E23" s="3" t="s">
        <v>838</v>
      </c>
      <c r="F23" s="3" t="s">
        <v>139</v>
      </c>
      <c r="G23" s="9">
        <v>766.25</v>
      </c>
      <c r="H23" s="10">
        <v>45665.420138888891</v>
      </c>
      <c r="I23" s="10">
        <v>45665.420138888891</v>
      </c>
      <c r="J23" s="10">
        <v>45665.422326388893</v>
      </c>
      <c r="K23" s="11">
        <v>2.1875000000000002E-3</v>
      </c>
      <c r="L23" s="13"/>
    </row>
    <row r="24" spans="1:12" x14ac:dyDescent="0.45">
      <c r="A24" s="3" t="s">
        <v>837</v>
      </c>
      <c r="B24" s="3" t="s">
        <v>893</v>
      </c>
      <c r="C24" s="3" t="s">
        <v>163</v>
      </c>
      <c r="D24" s="9">
        <v>160</v>
      </c>
      <c r="E24" s="3" t="s">
        <v>838</v>
      </c>
      <c r="F24" s="3" t="s">
        <v>139</v>
      </c>
      <c r="G24" s="9">
        <v>766.25</v>
      </c>
      <c r="H24" s="10">
        <v>45665.59375</v>
      </c>
      <c r="I24" s="10">
        <v>45665.59375</v>
      </c>
      <c r="J24" s="10">
        <v>45665.595706018517</v>
      </c>
      <c r="K24" s="11">
        <v>1.956018518518518E-3</v>
      </c>
      <c r="L24" s="13"/>
    </row>
    <row r="25" spans="1:12" x14ac:dyDescent="0.45">
      <c r="A25" s="3" t="s">
        <v>837</v>
      </c>
      <c r="B25" s="3" t="s">
        <v>894</v>
      </c>
      <c r="C25" s="3" t="s">
        <v>164</v>
      </c>
      <c r="D25" s="9">
        <v>112</v>
      </c>
      <c r="E25" s="3" t="s">
        <v>838</v>
      </c>
      <c r="F25" s="3" t="s">
        <v>139</v>
      </c>
      <c r="G25" s="9">
        <v>766.25</v>
      </c>
      <c r="H25" s="10">
        <v>45665.75</v>
      </c>
      <c r="I25" s="10">
        <v>45665.75</v>
      </c>
      <c r="J25" s="10">
        <v>45665.751851851863</v>
      </c>
      <c r="K25" s="11">
        <v>1.8518518518518519E-3</v>
      </c>
      <c r="L25" s="13"/>
    </row>
    <row r="26" spans="1:12" x14ac:dyDescent="0.45">
      <c r="A26" s="3" t="s">
        <v>837</v>
      </c>
      <c r="B26" s="3" t="s">
        <v>895</v>
      </c>
      <c r="C26" s="3" t="s">
        <v>165</v>
      </c>
      <c r="D26" s="9">
        <v>256</v>
      </c>
      <c r="E26" s="3" t="s">
        <v>838</v>
      </c>
      <c r="F26" s="3" t="s">
        <v>139</v>
      </c>
      <c r="G26" s="9">
        <v>766.25</v>
      </c>
      <c r="H26" s="10">
        <v>45665.895833333343</v>
      </c>
      <c r="I26" s="10">
        <v>45665.895833333343</v>
      </c>
      <c r="J26" s="10">
        <v>45665.898020833331</v>
      </c>
      <c r="K26" s="11">
        <v>2.1875000000000002E-3</v>
      </c>
      <c r="L26" s="13"/>
    </row>
    <row r="27" spans="1:12" x14ac:dyDescent="0.45">
      <c r="A27" s="3" t="s">
        <v>837</v>
      </c>
      <c r="B27" s="3" t="s">
        <v>896</v>
      </c>
      <c r="C27" s="3" t="s">
        <v>166</v>
      </c>
      <c r="D27" s="9">
        <v>128</v>
      </c>
      <c r="E27" s="3" t="s">
        <v>838</v>
      </c>
      <c r="F27" s="3" t="s">
        <v>139</v>
      </c>
      <c r="G27" s="9">
        <v>766.25</v>
      </c>
      <c r="H27" s="10">
        <v>45666.208333333343</v>
      </c>
      <c r="I27" s="10">
        <v>45666.208333333343</v>
      </c>
      <c r="J27" s="10">
        <v>45666.210219907407</v>
      </c>
      <c r="K27" s="11">
        <v>1.8865740740740739E-3</v>
      </c>
      <c r="L27" s="13"/>
    </row>
    <row r="28" spans="1:12" x14ac:dyDescent="0.45">
      <c r="A28" s="3" t="s">
        <v>837</v>
      </c>
      <c r="B28" s="3" t="s">
        <v>897</v>
      </c>
      <c r="C28" s="3" t="s">
        <v>167</v>
      </c>
      <c r="D28" s="9">
        <v>176</v>
      </c>
      <c r="E28" s="3" t="s">
        <v>838</v>
      </c>
      <c r="F28" s="3" t="s">
        <v>141</v>
      </c>
      <c r="G28" s="9">
        <v>556.20000000000005</v>
      </c>
      <c r="H28" s="10">
        <v>45666.214583333327</v>
      </c>
      <c r="I28" s="10">
        <v>45666.214583333327</v>
      </c>
      <c r="J28" s="10">
        <v>45666.216145833343</v>
      </c>
      <c r="K28" s="11">
        <v>1.5625000000000001E-3</v>
      </c>
      <c r="L28" s="13"/>
    </row>
    <row r="29" spans="1:12" x14ac:dyDescent="0.45">
      <c r="A29" s="3" t="s">
        <v>837</v>
      </c>
      <c r="B29" s="3" t="s">
        <v>898</v>
      </c>
      <c r="C29" s="3" t="s">
        <v>168</v>
      </c>
      <c r="D29" s="9">
        <v>176</v>
      </c>
      <c r="E29" s="3" t="s">
        <v>838</v>
      </c>
      <c r="F29" s="3" t="s">
        <v>139</v>
      </c>
      <c r="G29" s="9">
        <v>766.25</v>
      </c>
      <c r="H29" s="10">
        <v>45666.22152777778</v>
      </c>
      <c r="I29" s="10">
        <v>45666.22152777778</v>
      </c>
      <c r="J29" s="10">
        <v>45666.223530092589</v>
      </c>
      <c r="K29" s="11">
        <v>2.0023148148148148E-3</v>
      </c>
      <c r="L29" s="13"/>
    </row>
    <row r="30" spans="1:12" x14ac:dyDescent="0.45">
      <c r="A30" s="3" t="s">
        <v>837</v>
      </c>
      <c r="B30" s="3" t="s">
        <v>899</v>
      </c>
      <c r="C30" s="3" t="s">
        <v>169</v>
      </c>
      <c r="D30" s="9">
        <v>208</v>
      </c>
      <c r="E30" s="3" t="s">
        <v>838</v>
      </c>
      <c r="F30" s="3" t="s">
        <v>141</v>
      </c>
      <c r="G30" s="9">
        <v>556.20000000000005</v>
      </c>
      <c r="H30" s="10">
        <v>45666.227777777778</v>
      </c>
      <c r="I30" s="10">
        <v>45666.227777777778</v>
      </c>
      <c r="J30" s="10">
        <v>45666.229409722233</v>
      </c>
      <c r="K30" s="11">
        <v>1.631944444444445E-3</v>
      </c>
      <c r="L30" s="13"/>
    </row>
    <row r="31" spans="1:12" x14ac:dyDescent="0.45">
      <c r="A31" s="3" t="s">
        <v>837</v>
      </c>
      <c r="B31" s="3" t="s">
        <v>900</v>
      </c>
      <c r="C31" s="3" t="s">
        <v>170</v>
      </c>
      <c r="D31" s="9">
        <v>144</v>
      </c>
      <c r="E31" s="3" t="s">
        <v>838</v>
      </c>
      <c r="F31" s="3" t="s">
        <v>171</v>
      </c>
      <c r="G31" s="9">
        <v>476.05</v>
      </c>
      <c r="H31" s="10">
        <v>45666.231249999997</v>
      </c>
      <c r="I31" s="10">
        <v>45666.231249999997</v>
      </c>
      <c r="J31" s="10">
        <v>45666.232569444437</v>
      </c>
      <c r="K31" s="11">
        <v>1.3194444444444441E-3</v>
      </c>
      <c r="L31" s="13"/>
    </row>
    <row r="32" spans="1:12" x14ac:dyDescent="0.45">
      <c r="A32" s="3" t="s">
        <v>837</v>
      </c>
      <c r="B32" s="3" t="s">
        <v>901</v>
      </c>
      <c r="C32" s="3" t="s">
        <v>172</v>
      </c>
      <c r="D32" s="9">
        <v>96</v>
      </c>
      <c r="E32" s="3" t="s">
        <v>838</v>
      </c>
      <c r="F32" s="3" t="s">
        <v>173</v>
      </c>
      <c r="G32" s="9">
        <v>435.33</v>
      </c>
      <c r="H32" s="10">
        <v>45666.234722222223</v>
      </c>
      <c r="I32" s="10">
        <v>45666.234722222223</v>
      </c>
      <c r="J32" s="10">
        <v>45666.235844907409</v>
      </c>
      <c r="K32" s="11">
        <v>1.1226851851851849E-3</v>
      </c>
      <c r="L32" s="13"/>
    </row>
    <row r="33" spans="1:12" x14ac:dyDescent="0.45">
      <c r="A33" s="3" t="s">
        <v>837</v>
      </c>
      <c r="B33" s="3" t="s">
        <v>902</v>
      </c>
      <c r="C33" s="3" t="s">
        <v>174</v>
      </c>
      <c r="D33" s="9">
        <v>160</v>
      </c>
      <c r="E33" s="3" t="s">
        <v>838</v>
      </c>
      <c r="F33" s="3" t="s">
        <v>139</v>
      </c>
      <c r="G33" s="9">
        <v>766.25</v>
      </c>
      <c r="H33" s="10">
        <v>45666.239583333343</v>
      </c>
      <c r="I33" s="10">
        <v>45666.239583333343</v>
      </c>
      <c r="J33" s="10">
        <v>45666.241539351853</v>
      </c>
      <c r="K33" s="11">
        <v>1.956018518518518E-3</v>
      </c>
      <c r="L33" s="13"/>
    </row>
    <row r="34" spans="1:12" x14ac:dyDescent="0.45">
      <c r="A34" s="3" t="s">
        <v>837</v>
      </c>
      <c r="B34" s="3" t="s">
        <v>903</v>
      </c>
      <c r="C34" s="3" t="s">
        <v>175</v>
      </c>
      <c r="D34" s="9">
        <v>176</v>
      </c>
      <c r="E34" s="3" t="s">
        <v>838</v>
      </c>
      <c r="F34" s="3" t="s">
        <v>141</v>
      </c>
      <c r="G34" s="9">
        <v>556.20000000000005</v>
      </c>
      <c r="H34" s="10">
        <v>45666.244444444441</v>
      </c>
      <c r="I34" s="10">
        <v>45666.244444444441</v>
      </c>
      <c r="J34" s="10">
        <v>45666.246006944442</v>
      </c>
      <c r="K34" s="11">
        <v>1.5625000000000001E-3</v>
      </c>
      <c r="L34" s="13"/>
    </row>
    <row r="35" spans="1:12" x14ac:dyDescent="0.45">
      <c r="A35" s="3" t="s">
        <v>837</v>
      </c>
      <c r="B35" s="3" t="s">
        <v>904</v>
      </c>
      <c r="C35" s="3" t="s">
        <v>176</v>
      </c>
      <c r="D35" s="9">
        <v>176</v>
      </c>
      <c r="E35" s="3" t="s">
        <v>838</v>
      </c>
      <c r="F35" s="3" t="s">
        <v>139</v>
      </c>
      <c r="G35" s="9">
        <v>766.25</v>
      </c>
      <c r="H35" s="10">
        <v>45666.458333333343</v>
      </c>
      <c r="I35" s="10">
        <v>45666.458333333343</v>
      </c>
      <c r="J35" s="10">
        <v>45666.460335648153</v>
      </c>
      <c r="K35" s="11">
        <v>2.0023148148148148E-3</v>
      </c>
      <c r="L35" s="13"/>
    </row>
    <row r="36" spans="1:12" x14ac:dyDescent="0.45">
      <c r="A36" s="3" t="s">
        <v>837</v>
      </c>
      <c r="B36" s="3" t="s">
        <v>905</v>
      </c>
      <c r="C36" s="3" t="s">
        <v>177</v>
      </c>
      <c r="D36" s="9">
        <v>192</v>
      </c>
      <c r="E36" s="3" t="s">
        <v>838</v>
      </c>
      <c r="F36" s="3" t="s">
        <v>141</v>
      </c>
      <c r="G36" s="9">
        <v>556.20000000000005</v>
      </c>
      <c r="H36" s="10">
        <v>45666.458333333343</v>
      </c>
      <c r="I36" s="10">
        <v>45666.458333333343</v>
      </c>
      <c r="J36" s="10">
        <v>45666.459930555553</v>
      </c>
      <c r="K36" s="11">
        <v>1.5972222222222221E-3</v>
      </c>
      <c r="L36" s="13"/>
    </row>
    <row r="37" spans="1:12" x14ac:dyDescent="0.45">
      <c r="A37" s="3" t="s">
        <v>837</v>
      </c>
      <c r="B37" s="3" t="s">
        <v>906</v>
      </c>
      <c r="C37" s="3" t="s">
        <v>178</v>
      </c>
      <c r="D37" s="9">
        <v>288</v>
      </c>
      <c r="E37" s="3" t="s">
        <v>838</v>
      </c>
      <c r="F37" s="3" t="s">
        <v>139</v>
      </c>
      <c r="G37" s="9">
        <v>766.25</v>
      </c>
      <c r="H37" s="10">
        <v>45666.541666666657</v>
      </c>
      <c r="I37" s="10">
        <v>45666.541666666657</v>
      </c>
      <c r="J37" s="10">
        <v>45666.543923611112</v>
      </c>
      <c r="K37" s="11">
        <v>2.2569444444444438E-3</v>
      </c>
      <c r="L37" s="13"/>
    </row>
    <row r="38" spans="1:12" x14ac:dyDescent="0.45">
      <c r="A38" s="3" t="s">
        <v>837</v>
      </c>
      <c r="B38" s="3" t="s">
        <v>907</v>
      </c>
      <c r="C38" s="3" t="s">
        <v>179</v>
      </c>
      <c r="D38" s="9">
        <v>176</v>
      </c>
      <c r="E38" s="3" t="s">
        <v>838</v>
      </c>
      <c r="F38" s="3" t="s">
        <v>141</v>
      </c>
      <c r="G38" s="9">
        <v>556.20000000000005</v>
      </c>
      <c r="H38" s="10">
        <v>45666.546527777777</v>
      </c>
      <c r="I38" s="10">
        <v>45666.546527777777</v>
      </c>
      <c r="J38" s="10">
        <v>45666.548090277778</v>
      </c>
      <c r="K38" s="11">
        <v>1.5625000000000001E-3</v>
      </c>
      <c r="L38" s="13"/>
    </row>
    <row r="39" spans="1:12" x14ac:dyDescent="0.45">
      <c r="A39" s="3" t="s">
        <v>837</v>
      </c>
      <c r="B39" s="3" t="s">
        <v>908</v>
      </c>
      <c r="C39" s="3" t="s">
        <v>180</v>
      </c>
      <c r="D39" s="9">
        <v>80</v>
      </c>
      <c r="E39" s="3" t="s">
        <v>838</v>
      </c>
      <c r="F39" s="3" t="s">
        <v>139</v>
      </c>
      <c r="G39" s="9">
        <v>766.25</v>
      </c>
      <c r="H39" s="10">
        <v>45666.559027777781</v>
      </c>
      <c r="I39" s="10">
        <v>45666.559027777781</v>
      </c>
      <c r="J39" s="10">
        <v>45666.560798611114</v>
      </c>
      <c r="K39" s="11">
        <v>1.770833333333333E-3</v>
      </c>
      <c r="L39" s="13"/>
    </row>
    <row r="40" spans="1:12" x14ac:dyDescent="0.45">
      <c r="A40" s="3" t="s">
        <v>837</v>
      </c>
      <c r="B40" s="3" t="s">
        <v>909</v>
      </c>
      <c r="C40" s="3" t="s">
        <v>181</v>
      </c>
      <c r="D40" s="9">
        <v>192</v>
      </c>
      <c r="E40" s="3" t="s">
        <v>838</v>
      </c>
      <c r="F40" s="3" t="s">
        <v>139</v>
      </c>
      <c r="G40" s="9">
        <v>766.25</v>
      </c>
      <c r="H40" s="10">
        <v>45666.568749999999</v>
      </c>
      <c r="I40" s="10">
        <v>45666.568749999999</v>
      </c>
      <c r="J40" s="10">
        <v>45666.570787037039</v>
      </c>
      <c r="K40" s="11">
        <v>2.0370370370370369E-3</v>
      </c>
      <c r="L40" s="13"/>
    </row>
    <row r="41" spans="1:12" x14ac:dyDescent="0.45">
      <c r="A41" s="3" t="s">
        <v>837</v>
      </c>
      <c r="B41" s="3" t="s">
        <v>910</v>
      </c>
      <c r="C41" s="3" t="s">
        <v>182</v>
      </c>
      <c r="D41" s="9">
        <v>192</v>
      </c>
      <c r="E41" s="3" t="s">
        <v>838</v>
      </c>
      <c r="F41" s="3" t="s">
        <v>141</v>
      </c>
      <c r="G41" s="9">
        <v>556.20000000000005</v>
      </c>
      <c r="H41" s="10">
        <v>45666.576388888891</v>
      </c>
      <c r="I41" s="10">
        <v>45666.576388888891</v>
      </c>
      <c r="J41" s="10">
        <v>45666.577986111108</v>
      </c>
      <c r="K41" s="11">
        <v>1.5972222222222221E-3</v>
      </c>
      <c r="L41" s="13"/>
    </row>
    <row r="42" spans="1:12" x14ac:dyDescent="0.45">
      <c r="A42" s="3" t="s">
        <v>837</v>
      </c>
      <c r="B42" s="3" t="s">
        <v>911</v>
      </c>
      <c r="C42" s="3" t="s">
        <v>183</v>
      </c>
      <c r="D42" s="9">
        <v>144</v>
      </c>
      <c r="E42" s="3" t="s">
        <v>838</v>
      </c>
      <c r="F42" s="3" t="s">
        <v>139</v>
      </c>
      <c r="G42" s="9">
        <v>766.25</v>
      </c>
      <c r="H42" s="10">
        <v>45666.791666666657</v>
      </c>
      <c r="I42" s="10">
        <v>45666.791666666657</v>
      </c>
      <c r="J42" s="10">
        <v>45666.793587962973</v>
      </c>
      <c r="K42" s="11">
        <v>1.9212962962962959E-3</v>
      </c>
      <c r="L42" s="13"/>
    </row>
    <row r="43" spans="1:12" x14ac:dyDescent="0.45">
      <c r="A43" s="3" t="s">
        <v>837</v>
      </c>
      <c r="B43" s="3" t="s">
        <v>912</v>
      </c>
      <c r="C43" s="3" t="s">
        <v>184</v>
      </c>
      <c r="D43" s="9">
        <v>272</v>
      </c>
      <c r="E43" s="3" t="s">
        <v>838</v>
      </c>
      <c r="F43" s="3" t="s">
        <v>141</v>
      </c>
      <c r="G43" s="9">
        <v>556.20000000000005</v>
      </c>
      <c r="H43" s="10">
        <v>45666.795138888891</v>
      </c>
      <c r="I43" s="10">
        <v>45666.795138888891</v>
      </c>
      <c r="J43" s="10">
        <v>45666.7969212963</v>
      </c>
      <c r="K43" s="11">
        <v>1.782407407407407E-3</v>
      </c>
      <c r="L43" s="13"/>
    </row>
    <row r="44" spans="1:12" x14ac:dyDescent="0.45">
      <c r="A44" s="3" t="s">
        <v>837</v>
      </c>
      <c r="B44" s="3" t="s">
        <v>913</v>
      </c>
      <c r="C44" s="3" t="s">
        <v>185</v>
      </c>
      <c r="D44" s="9">
        <v>160</v>
      </c>
      <c r="E44" s="3" t="s">
        <v>838</v>
      </c>
      <c r="F44" s="3" t="s">
        <v>139</v>
      </c>
      <c r="G44" s="9">
        <v>766.25</v>
      </c>
      <c r="H44" s="10">
        <v>45666.9375</v>
      </c>
      <c r="I44" s="10">
        <v>45666.9375</v>
      </c>
      <c r="J44" s="10">
        <v>45666.939456018517</v>
      </c>
      <c r="K44" s="11">
        <v>1.956018518518518E-3</v>
      </c>
      <c r="L44" s="13"/>
    </row>
    <row r="45" spans="1:12" x14ac:dyDescent="0.45">
      <c r="A45" s="3" t="s">
        <v>837</v>
      </c>
      <c r="B45" s="3" t="s">
        <v>914</v>
      </c>
      <c r="C45" s="3" t="s">
        <v>186</v>
      </c>
      <c r="D45" s="9">
        <v>160</v>
      </c>
      <c r="E45" s="3" t="s">
        <v>838</v>
      </c>
      <c r="F45" s="3" t="s">
        <v>139</v>
      </c>
      <c r="G45" s="9">
        <v>766.25</v>
      </c>
      <c r="H45" s="10">
        <v>45667.291666666657</v>
      </c>
      <c r="I45" s="10">
        <v>45667.291666666657</v>
      </c>
      <c r="J45" s="10">
        <v>45667.293622685182</v>
      </c>
      <c r="K45" s="11">
        <v>1.956018518518518E-3</v>
      </c>
      <c r="L45" s="13"/>
    </row>
    <row r="46" spans="1:12" x14ac:dyDescent="0.45">
      <c r="A46" s="3" t="s">
        <v>837</v>
      </c>
      <c r="B46" s="3" t="s">
        <v>915</v>
      </c>
      <c r="C46" s="3" t="s">
        <v>187</v>
      </c>
      <c r="D46" s="9">
        <v>144</v>
      </c>
      <c r="E46" s="3" t="s">
        <v>838</v>
      </c>
      <c r="F46" s="3" t="s">
        <v>139</v>
      </c>
      <c r="G46" s="9">
        <v>766.25</v>
      </c>
      <c r="H46" s="10">
        <v>45667.315972222219</v>
      </c>
      <c r="I46" s="10">
        <v>45667.315972222219</v>
      </c>
      <c r="J46" s="10">
        <v>45667.317893518521</v>
      </c>
      <c r="K46" s="11">
        <v>1.9212962962962959E-3</v>
      </c>
      <c r="L46" s="13"/>
    </row>
    <row r="47" spans="1:12" x14ac:dyDescent="0.45">
      <c r="A47" s="3" t="s">
        <v>837</v>
      </c>
      <c r="B47" s="3" t="s">
        <v>916</v>
      </c>
      <c r="C47" s="3" t="s">
        <v>188</v>
      </c>
      <c r="D47" s="9">
        <v>96</v>
      </c>
      <c r="E47" s="3" t="s">
        <v>838</v>
      </c>
      <c r="F47" s="3" t="s">
        <v>139</v>
      </c>
      <c r="G47" s="9">
        <v>766.25</v>
      </c>
      <c r="H47" s="10">
        <v>45667.35</v>
      </c>
      <c r="I47" s="10">
        <v>45667.35</v>
      </c>
      <c r="J47" s="10">
        <v>45667.351817129631</v>
      </c>
      <c r="K47" s="11">
        <v>1.8171296296296299E-3</v>
      </c>
      <c r="L47" s="13"/>
    </row>
    <row r="48" spans="1:12" x14ac:dyDescent="0.45">
      <c r="A48" s="3" t="s">
        <v>837</v>
      </c>
      <c r="B48" s="3" t="s">
        <v>917</v>
      </c>
      <c r="C48" s="3" t="s">
        <v>189</v>
      </c>
      <c r="D48" s="9">
        <v>176</v>
      </c>
      <c r="E48" s="3" t="s">
        <v>838</v>
      </c>
      <c r="F48" s="3" t="s">
        <v>139</v>
      </c>
      <c r="G48" s="9">
        <v>766.25</v>
      </c>
      <c r="H48" s="10">
        <v>45667.377083333333</v>
      </c>
      <c r="I48" s="10">
        <v>45667.377083333333</v>
      </c>
      <c r="J48" s="10">
        <v>45667.37908564815</v>
      </c>
      <c r="K48" s="11">
        <v>2.0023148148148148E-3</v>
      </c>
      <c r="L48" s="13"/>
    </row>
    <row r="49" spans="1:12" x14ac:dyDescent="0.45">
      <c r="A49" s="3" t="s">
        <v>837</v>
      </c>
      <c r="B49" s="3" t="s">
        <v>918</v>
      </c>
      <c r="C49" s="3" t="s">
        <v>190</v>
      </c>
      <c r="D49" s="9">
        <v>224</v>
      </c>
      <c r="E49" s="3" t="s">
        <v>838</v>
      </c>
      <c r="F49" s="3" t="s">
        <v>139</v>
      </c>
      <c r="G49" s="9">
        <v>766.25</v>
      </c>
      <c r="H49" s="10">
        <v>45667.541666666657</v>
      </c>
      <c r="I49" s="10">
        <v>45667.541666666657</v>
      </c>
      <c r="J49" s="10">
        <v>45667.543773148151</v>
      </c>
      <c r="K49" s="11">
        <v>2.1064814814814809E-3</v>
      </c>
      <c r="L49" s="13"/>
    </row>
    <row r="50" spans="1:12" x14ac:dyDescent="0.45">
      <c r="A50" s="3" t="s">
        <v>837</v>
      </c>
      <c r="B50" s="3" t="s">
        <v>919</v>
      </c>
      <c r="C50" s="3" t="s">
        <v>191</v>
      </c>
      <c r="D50" s="9">
        <v>240</v>
      </c>
      <c r="E50" s="3" t="s">
        <v>838</v>
      </c>
      <c r="F50" s="3" t="s">
        <v>141</v>
      </c>
      <c r="G50" s="9">
        <v>556.20000000000005</v>
      </c>
      <c r="H50" s="10">
        <v>45667.541666666657</v>
      </c>
      <c r="I50" s="10">
        <v>45667.541666666657</v>
      </c>
      <c r="J50" s="10">
        <v>45667.543379629627</v>
      </c>
      <c r="K50" s="11">
        <v>1.712962962962963E-3</v>
      </c>
      <c r="L50" s="13"/>
    </row>
    <row r="51" spans="1:12" x14ac:dyDescent="0.45">
      <c r="A51" s="3" t="s">
        <v>837</v>
      </c>
      <c r="B51" s="3" t="s">
        <v>920</v>
      </c>
      <c r="C51" s="3" t="s">
        <v>192</v>
      </c>
      <c r="D51" s="9">
        <v>208</v>
      </c>
      <c r="E51" s="3" t="s">
        <v>838</v>
      </c>
      <c r="F51" s="3" t="s">
        <v>139</v>
      </c>
      <c r="G51" s="9">
        <v>766.25</v>
      </c>
      <c r="H51" s="10">
        <v>45667.625</v>
      </c>
      <c r="I51" s="10">
        <v>45667.625</v>
      </c>
      <c r="J51" s="10">
        <v>45667.627071759263</v>
      </c>
      <c r="K51" s="11">
        <v>2.0717592592592589E-3</v>
      </c>
      <c r="L51" s="13"/>
    </row>
    <row r="52" spans="1:12" x14ac:dyDescent="0.45">
      <c r="A52" s="3" t="s">
        <v>837</v>
      </c>
      <c r="B52" s="3" t="s">
        <v>921</v>
      </c>
      <c r="C52" s="3" t="s">
        <v>193</v>
      </c>
      <c r="D52" s="9">
        <v>160</v>
      </c>
      <c r="E52" s="3" t="s">
        <v>838</v>
      </c>
      <c r="F52" s="3" t="s">
        <v>139</v>
      </c>
      <c r="G52" s="9">
        <v>766.25</v>
      </c>
      <c r="H52" s="10">
        <v>45667.65347222222</v>
      </c>
      <c r="I52" s="10">
        <v>45667.65347222222</v>
      </c>
      <c r="J52" s="10">
        <v>45667.655428240738</v>
      </c>
      <c r="K52" s="11">
        <v>1.956018518518518E-3</v>
      </c>
      <c r="L52" s="13"/>
    </row>
    <row r="53" spans="1:12" x14ac:dyDescent="0.45">
      <c r="A53" s="3" t="s">
        <v>837</v>
      </c>
      <c r="B53" s="3" t="s">
        <v>922</v>
      </c>
      <c r="C53" s="3" t="s">
        <v>194</v>
      </c>
      <c r="D53" s="9">
        <v>224</v>
      </c>
      <c r="E53" s="3" t="s">
        <v>838</v>
      </c>
      <c r="F53" s="3" t="s">
        <v>139</v>
      </c>
      <c r="G53" s="9">
        <v>766.25</v>
      </c>
      <c r="H53" s="10">
        <v>45667.675694444442</v>
      </c>
      <c r="I53" s="10">
        <v>45667.675694444442</v>
      </c>
      <c r="J53" s="10">
        <v>45667.677800925929</v>
      </c>
      <c r="K53" s="11">
        <v>2.1064814814814809E-3</v>
      </c>
      <c r="L53" s="13"/>
    </row>
    <row r="54" spans="1:12" x14ac:dyDescent="0.45">
      <c r="A54" s="3" t="s">
        <v>837</v>
      </c>
      <c r="B54" s="3" t="s">
        <v>923</v>
      </c>
      <c r="C54" s="3" t="s">
        <v>195</v>
      </c>
      <c r="D54" s="9">
        <v>128</v>
      </c>
      <c r="E54" s="3" t="s">
        <v>838</v>
      </c>
      <c r="F54" s="3" t="s">
        <v>139</v>
      </c>
      <c r="G54" s="9">
        <v>766.25</v>
      </c>
      <c r="H54" s="10">
        <v>45667.70416666667</v>
      </c>
      <c r="I54" s="10">
        <v>45667.70416666667</v>
      </c>
      <c r="J54" s="10">
        <v>45667.706053240741</v>
      </c>
      <c r="K54" s="11">
        <v>1.8865740740740739E-3</v>
      </c>
      <c r="L54" s="13"/>
    </row>
    <row r="55" spans="1:12" x14ac:dyDescent="0.45">
      <c r="A55" s="3" t="s">
        <v>837</v>
      </c>
      <c r="B55" s="3" t="s">
        <v>924</v>
      </c>
      <c r="C55" s="3" t="s">
        <v>196</v>
      </c>
      <c r="D55" s="9">
        <v>144</v>
      </c>
      <c r="E55" s="3" t="s">
        <v>838</v>
      </c>
      <c r="F55" s="3" t="s">
        <v>139</v>
      </c>
      <c r="G55" s="9">
        <v>766.25</v>
      </c>
      <c r="H55" s="10">
        <v>45667.833333333343</v>
      </c>
      <c r="I55" s="10">
        <v>45667.833333333343</v>
      </c>
      <c r="J55" s="10">
        <v>45667.83525462963</v>
      </c>
      <c r="K55" s="11">
        <v>1.9212962962962959E-3</v>
      </c>
      <c r="L55" s="13"/>
    </row>
    <row r="56" spans="1:12" x14ac:dyDescent="0.45">
      <c r="A56" s="3" t="s">
        <v>837</v>
      </c>
      <c r="B56" s="3" t="s">
        <v>925</v>
      </c>
      <c r="C56" s="3" t="s">
        <v>197</v>
      </c>
      <c r="D56" s="9">
        <v>96</v>
      </c>
      <c r="E56" s="3" t="s">
        <v>838</v>
      </c>
      <c r="F56" s="3" t="s">
        <v>139</v>
      </c>
      <c r="G56" s="9">
        <v>766.25</v>
      </c>
      <c r="H56" s="10">
        <v>45667.9375</v>
      </c>
      <c r="I56" s="10">
        <v>45667.9375</v>
      </c>
      <c r="J56" s="10">
        <v>45667.939317129632</v>
      </c>
      <c r="K56" s="11">
        <v>1.8171296296296299E-3</v>
      </c>
      <c r="L56" s="13"/>
    </row>
    <row r="57" spans="1:12" x14ac:dyDescent="0.45">
      <c r="A57" s="3" t="s">
        <v>837</v>
      </c>
      <c r="B57" s="3" t="s">
        <v>926</v>
      </c>
      <c r="C57" s="3" t="s">
        <v>198</v>
      </c>
      <c r="D57" s="9">
        <v>112</v>
      </c>
      <c r="E57" s="3" t="s">
        <v>838</v>
      </c>
      <c r="F57" s="3" t="s">
        <v>139</v>
      </c>
      <c r="G57" s="9">
        <v>766.25</v>
      </c>
      <c r="H57" s="10">
        <v>45668.25</v>
      </c>
      <c r="I57" s="10">
        <v>45668.25</v>
      </c>
      <c r="J57" s="10">
        <v>45668.251851851863</v>
      </c>
      <c r="K57" s="11">
        <v>1.8518518518518519E-3</v>
      </c>
      <c r="L57" s="13"/>
    </row>
    <row r="58" spans="1:12" x14ac:dyDescent="0.45">
      <c r="A58" s="3" t="s">
        <v>837</v>
      </c>
      <c r="B58" s="3" t="s">
        <v>927</v>
      </c>
      <c r="C58" s="3" t="s">
        <v>199</v>
      </c>
      <c r="D58" s="9">
        <v>128</v>
      </c>
      <c r="E58" s="3" t="s">
        <v>838</v>
      </c>
      <c r="F58" s="3" t="s">
        <v>139</v>
      </c>
      <c r="G58" s="9">
        <v>766.25</v>
      </c>
      <c r="H58" s="10">
        <v>45668.259027777778</v>
      </c>
      <c r="I58" s="10">
        <v>45668.259027777778</v>
      </c>
      <c r="J58" s="10">
        <v>45668.260914351849</v>
      </c>
      <c r="K58" s="11">
        <v>1.8865740740740739E-3</v>
      </c>
      <c r="L58" s="13"/>
    </row>
    <row r="59" spans="1:12" x14ac:dyDescent="0.45">
      <c r="A59" s="3" t="s">
        <v>837</v>
      </c>
      <c r="B59" s="3" t="s">
        <v>928</v>
      </c>
      <c r="C59" s="3" t="s">
        <v>200</v>
      </c>
      <c r="D59" s="9">
        <v>128</v>
      </c>
      <c r="E59" s="3" t="s">
        <v>838</v>
      </c>
      <c r="F59" s="3" t="s">
        <v>139</v>
      </c>
      <c r="G59" s="9">
        <v>766.25</v>
      </c>
      <c r="H59" s="10">
        <v>45668.271527777782</v>
      </c>
      <c r="I59" s="10">
        <v>45668.271527777782</v>
      </c>
      <c r="J59" s="10">
        <v>45668.273414351846</v>
      </c>
      <c r="K59" s="11">
        <v>1.8865740740740739E-3</v>
      </c>
      <c r="L59" s="13"/>
    </row>
    <row r="60" spans="1:12" x14ac:dyDescent="0.45">
      <c r="A60" s="3" t="s">
        <v>837</v>
      </c>
      <c r="B60" s="3" t="s">
        <v>929</v>
      </c>
      <c r="C60" s="3" t="s">
        <v>201</v>
      </c>
      <c r="D60" s="9">
        <v>112</v>
      </c>
      <c r="E60" s="3" t="s">
        <v>838</v>
      </c>
      <c r="F60" s="3" t="s">
        <v>139</v>
      </c>
      <c r="G60" s="9">
        <v>766.25</v>
      </c>
      <c r="H60" s="10">
        <v>45668.288888888892</v>
      </c>
      <c r="I60" s="10">
        <v>45668.288888888892</v>
      </c>
      <c r="J60" s="10">
        <v>45668.29074074074</v>
      </c>
      <c r="K60" s="11">
        <v>1.8518518518518519E-3</v>
      </c>
      <c r="L60" s="13"/>
    </row>
    <row r="61" spans="1:12" x14ac:dyDescent="0.45">
      <c r="A61" s="3" t="s">
        <v>837</v>
      </c>
      <c r="B61" s="3" t="s">
        <v>930</v>
      </c>
      <c r="C61" s="3" t="s">
        <v>202</v>
      </c>
      <c r="D61" s="9">
        <v>112</v>
      </c>
      <c r="E61" s="3" t="s">
        <v>838</v>
      </c>
      <c r="F61" s="3" t="s">
        <v>139</v>
      </c>
      <c r="G61" s="9">
        <v>766.25</v>
      </c>
      <c r="H61" s="10">
        <v>45668.303472222222</v>
      </c>
      <c r="I61" s="10">
        <v>45668.303472222222</v>
      </c>
      <c r="J61" s="10">
        <v>45668.305324074077</v>
      </c>
      <c r="K61" s="11">
        <v>1.8518518518518519E-3</v>
      </c>
      <c r="L61" s="13"/>
    </row>
    <row r="62" spans="1:12" x14ac:dyDescent="0.45">
      <c r="A62" s="3" t="s">
        <v>837</v>
      </c>
      <c r="B62" s="3" t="s">
        <v>931</v>
      </c>
      <c r="C62" s="3" t="s">
        <v>203</v>
      </c>
      <c r="D62" s="9">
        <v>112</v>
      </c>
      <c r="E62" s="3" t="s">
        <v>838</v>
      </c>
      <c r="F62" s="3" t="s">
        <v>139</v>
      </c>
      <c r="G62" s="9">
        <v>766.25</v>
      </c>
      <c r="H62" s="10">
        <v>45668.5</v>
      </c>
      <c r="I62" s="10">
        <v>45668.5</v>
      </c>
      <c r="J62" s="10">
        <v>45668.501851851863</v>
      </c>
      <c r="K62" s="11">
        <v>1.8518518518518519E-3</v>
      </c>
      <c r="L62" s="13"/>
    </row>
    <row r="63" spans="1:12" x14ac:dyDescent="0.45">
      <c r="A63" s="3" t="s">
        <v>837</v>
      </c>
      <c r="B63" s="3" t="s">
        <v>932</v>
      </c>
      <c r="C63" s="3" t="s">
        <v>204</v>
      </c>
      <c r="D63" s="9">
        <v>144</v>
      </c>
      <c r="E63" s="3" t="s">
        <v>838</v>
      </c>
      <c r="F63" s="3" t="s">
        <v>139</v>
      </c>
      <c r="G63" s="9">
        <v>766.25</v>
      </c>
      <c r="H63" s="10">
        <v>45668.511805555558</v>
      </c>
      <c r="I63" s="10">
        <v>45668.511805555558</v>
      </c>
      <c r="J63" s="10">
        <v>45668.513726851852</v>
      </c>
      <c r="K63" s="11">
        <v>1.9212962962962959E-3</v>
      </c>
      <c r="L63" s="13"/>
    </row>
    <row r="64" spans="1:12" x14ac:dyDescent="0.45">
      <c r="A64" s="3" t="s">
        <v>837</v>
      </c>
      <c r="B64" s="3" t="s">
        <v>933</v>
      </c>
      <c r="C64" s="3" t="s">
        <v>205</v>
      </c>
      <c r="D64" s="9">
        <v>112</v>
      </c>
      <c r="E64" s="3" t="s">
        <v>838</v>
      </c>
      <c r="F64" s="3" t="s">
        <v>141</v>
      </c>
      <c r="G64" s="9">
        <v>556.20000000000005</v>
      </c>
      <c r="H64" s="10">
        <v>45668.521527777782</v>
      </c>
      <c r="I64" s="10">
        <v>45668.521527777782</v>
      </c>
      <c r="J64" s="10">
        <v>45668.522939814808</v>
      </c>
      <c r="K64" s="11">
        <v>1.4120370370370369E-3</v>
      </c>
      <c r="L64" s="13"/>
    </row>
    <row r="65" spans="1:12" x14ac:dyDescent="0.45">
      <c r="A65" s="3" t="s">
        <v>837</v>
      </c>
      <c r="B65" s="3" t="s">
        <v>934</v>
      </c>
      <c r="C65" s="3" t="s">
        <v>206</v>
      </c>
      <c r="D65" s="9">
        <v>128</v>
      </c>
      <c r="E65" s="3" t="s">
        <v>838</v>
      </c>
      <c r="F65" s="3" t="s">
        <v>139</v>
      </c>
      <c r="G65" s="9">
        <v>766.25</v>
      </c>
      <c r="H65" s="10">
        <v>45668.525000000001</v>
      </c>
      <c r="I65" s="10">
        <v>45668.525000000001</v>
      </c>
      <c r="J65" s="10">
        <v>45668.526886574073</v>
      </c>
      <c r="K65" s="11">
        <v>1.8865740740740739E-3</v>
      </c>
      <c r="L65" s="13"/>
    </row>
    <row r="66" spans="1:12" x14ac:dyDescent="0.45">
      <c r="A66" s="3" t="s">
        <v>837</v>
      </c>
      <c r="B66" s="3" t="s">
        <v>935</v>
      </c>
      <c r="C66" s="3" t="s">
        <v>207</v>
      </c>
      <c r="D66" s="9">
        <v>208</v>
      </c>
      <c r="E66" s="3" t="s">
        <v>838</v>
      </c>
      <c r="F66" s="3" t="s">
        <v>141</v>
      </c>
      <c r="G66" s="9">
        <v>556.20000000000005</v>
      </c>
      <c r="H66" s="10">
        <v>45668.536111111112</v>
      </c>
      <c r="I66" s="10">
        <v>45668.536111111112</v>
      </c>
      <c r="J66" s="10">
        <v>45668.537743055553</v>
      </c>
      <c r="K66" s="11">
        <v>1.631944444444445E-3</v>
      </c>
      <c r="L66" s="13"/>
    </row>
    <row r="67" spans="1:12" x14ac:dyDescent="0.45">
      <c r="A67" s="3" t="s">
        <v>837</v>
      </c>
      <c r="B67" s="3" t="s">
        <v>936</v>
      </c>
      <c r="C67" s="3" t="s">
        <v>208</v>
      </c>
      <c r="D67" s="9">
        <v>96</v>
      </c>
      <c r="E67" s="3" t="s">
        <v>838</v>
      </c>
      <c r="F67" s="3" t="s">
        <v>139</v>
      </c>
      <c r="G67" s="9">
        <v>766.25</v>
      </c>
      <c r="H67" s="10">
        <v>45668.544444444437</v>
      </c>
      <c r="I67" s="10">
        <v>45668.544444444437</v>
      </c>
      <c r="J67" s="10">
        <v>45668.546261574083</v>
      </c>
      <c r="K67" s="11">
        <v>1.8171296296296299E-3</v>
      </c>
      <c r="L67" s="13"/>
    </row>
    <row r="68" spans="1:12" x14ac:dyDescent="0.45">
      <c r="A68" s="3" t="s">
        <v>837</v>
      </c>
      <c r="B68" s="3" t="s">
        <v>937</v>
      </c>
      <c r="C68" s="3" t="s">
        <v>209</v>
      </c>
      <c r="D68" s="9">
        <v>80</v>
      </c>
      <c r="E68" s="3" t="s">
        <v>838</v>
      </c>
      <c r="F68" s="3" t="s">
        <v>139</v>
      </c>
      <c r="G68" s="9">
        <v>766.25</v>
      </c>
      <c r="H68" s="10">
        <v>45668.75</v>
      </c>
      <c r="I68" s="10">
        <v>45668.75</v>
      </c>
      <c r="J68" s="10">
        <v>45668.751770833333</v>
      </c>
      <c r="K68" s="11">
        <v>1.770833333333333E-3</v>
      </c>
      <c r="L68" s="13"/>
    </row>
    <row r="69" spans="1:12" x14ac:dyDescent="0.45">
      <c r="A69" s="3" t="s">
        <v>837</v>
      </c>
      <c r="B69" s="3" t="s">
        <v>938</v>
      </c>
      <c r="C69" s="3" t="s">
        <v>210</v>
      </c>
      <c r="D69" s="9">
        <v>304</v>
      </c>
      <c r="E69" s="3" t="s">
        <v>838</v>
      </c>
      <c r="F69" s="3" t="s">
        <v>139</v>
      </c>
      <c r="G69" s="9">
        <v>766.25</v>
      </c>
      <c r="H69" s="10">
        <v>45668.875</v>
      </c>
      <c r="I69" s="10">
        <v>45668.875</v>
      </c>
      <c r="J69" s="10">
        <v>45668.877291666657</v>
      </c>
      <c r="K69" s="11">
        <v>2.2916666666666671E-3</v>
      </c>
      <c r="L69" s="13"/>
    </row>
    <row r="70" spans="1:12" x14ac:dyDescent="0.45">
      <c r="A70" s="3" t="s">
        <v>837</v>
      </c>
      <c r="B70" s="3" t="s">
        <v>939</v>
      </c>
      <c r="C70" s="3" t="s">
        <v>211</v>
      </c>
      <c r="D70" s="9">
        <v>160</v>
      </c>
      <c r="E70" s="3" t="s">
        <v>838</v>
      </c>
      <c r="F70" s="3" t="s">
        <v>139</v>
      </c>
      <c r="G70" s="9">
        <v>766.25</v>
      </c>
      <c r="H70" s="10">
        <v>45668.979166666657</v>
      </c>
      <c r="I70" s="10">
        <v>45668.979166666657</v>
      </c>
      <c r="J70" s="10">
        <v>45668.981122685182</v>
      </c>
      <c r="K70" s="11">
        <v>1.956018518518518E-3</v>
      </c>
      <c r="L70" s="13"/>
    </row>
    <row r="71" spans="1:12" x14ac:dyDescent="0.45">
      <c r="A71" s="3" t="s">
        <v>837</v>
      </c>
      <c r="B71" s="3" t="s">
        <v>940</v>
      </c>
      <c r="C71" s="3" t="s">
        <v>212</v>
      </c>
      <c r="D71" s="9">
        <v>208</v>
      </c>
      <c r="E71" s="3" t="s">
        <v>838</v>
      </c>
      <c r="F71" s="3" t="s">
        <v>139</v>
      </c>
      <c r="G71" s="9">
        <v>766.25</v>
      </c>
      <c r="H71" s="10">
        <v>45669.333333333343</v>
      </c>
      <c r="I71" s="10">
        <v>45669.333333333343</v>
      </c>
      <c r="J71" s="10">
        <v>45669.335405092592</v>
      </c>
      <c r="K71" s="11">
        <v>2.0717592592592589E-3</v>
      </c>
      <c r="L71" s="13"/>
    </row>
    <row r="72" spans="1:12" x14ac:dyDescent="0.45">
      <c r="A72" s="3" t="s">
        <v>837</v>
      </c>
      <c r="B72" s="3" t="s">
        <v>941</v>
      </c>
      <c r="C72" s="3" t="s">
        <v>213</v>
      </c>
      <c r="D72" s="9">
        <v>176</v>
      </c>
      <c r="E72" s="3" t="s">
        <v>838</v>
      </c>
      <c r="F72" s="3" t="s">
        <v>139</v>
      </c>
      <c r="G72" s="9">
        <v>766.25</v>
      </c>
      <c r="H72" s="10">
        <v>45669.392361111109</v>
      </c>
      <c r="I72" s="10">
        <v>45669.392361111109</v>
      </c>
      <c r="J72" s="10">
        <v>45669.394363425927</v>
      </c>
      <c r="K72" s="11">
        <v>2.0023148148148148E-3</v>
      </c>
      <c r="L72" s="13"/>
    </row>
    <row r="73" spans="1:12" x14ac:dyDescent="0.45">
      <c r="A73" s="3" t="s">
        <v>837</v>
      </c>
      <c r="B73" s="3" t="s">
        <v>942</v>
      </c>
      <c r="C73" s="3" t="s">
        <v>214</v>
      </c>
      <c r="D73" s="9">
        <v>128</v>
      </c>
      <c r="E73" s="3" t="s">
        <v>838</v>
      </c>
      <c r="F73" s="3" t="s">
        <v>139</v>
      </c>
      <c r="G73" s="9">
        <v>766.25</v>
      </c>
      <c r="H73" s="10">
        <v>45669.422222222223</v>
      </c>
      <c r="I73" s="10">
        <v>45669.422222222223</v>
      </c>
      <c r="J73" s="10">
        <v>45669.424108796287</v>
      </c>
      <c r="K73" s="11">
        <v>1.8865740740740739E-3</v>
      </c>
      <c r="L73" s="13"/>
    </row>
    <row r="74" spans="1:12" x14ac:dyDescent="0.45">
      <c r="A74" s="3" t="s">
        <v>837</v>
      </c>
      <c r="B74" s="3" t="s">
        <v>943</v>
      </c>
      <c r="C74" s="3" t="s">
        <v>215</v>
      </c>
      <c r="D74" s="9">
        <v>176</v>
      </c>
      <c r="E74" s="3" t="s">
        <v>838</v>
      </c>
      <c r="F74" s="3" t="s">
        <v>139</v>
      </c>
      <c r="G74" s="9">
        <v>766.25</v>
      </c>
      <c r="H74" s="10">
        <v>45669.457638888889</v>
      </c>
      <c r="I74" s="10">
        <v>45669.457638888889</v>
      </c>
      <c r="J74" s="10">
        <v>45669.459641203714</v>
      </c>
      <c r="K74" s="11">
        <v>2.0023148148148148E-3</v>
      </c>
      <c r="L74" s="13"/>
    </row>
    <row r="75" spans="1:12" x14ac:dyDescent="0.45">
      <c r="A75" s="3" t="s">
        <v>837</v>
      </c>
      <c r="B75" s="3" t="s">
        <v>944</v>
      </c>
      <c r="C75" s="3" t="s">
        <v>216</v>
      </c>
      <c r="D75" s="9">
        <v>176</v>
      </c>
      <c r="E75" s="3" t="s">
        <v>838</v>
      </c>
      <c r="F75" s="3" t="s">
        <v>139</v>
      </c>
      <c r="G75" s="9">
        <v>766.25</v>
      </c>
      <c r="H75" s="10">
        <v>45669.491666666669</v>
      </c>
      <c r="I75" s="10">
        <v>45669.491666666669</v>
      </c>
      <c r="J75" s="10">
        <v>45669.493668981479</v>
      </c>
      <c r="K75" s="11">
        <v>2.0023148148148148E-3</v>
      </c>
      <c r="L75" s="13"/>
    </row>
    <row r="76" spans="1:12" x14ac:dyDescent="0.45">
      <c r="A76" s="3" t="s">
        <v>837</v>
      </c>
      <c r="B76" s="3" t="s">
        <v>945</v>
      </c>
      <c r="C76" s="3" t="s">
        <v>217</v>
      </c>
      <c r="D76" s="9">
        <v>144</v>
      </c>
      <c r="E76" s="3" t="s">
        <v>838</v>
      </c>
      <c r="F76" s="3" t="s">
        <v>139</v>
      </c>
      <c r="G76" s="9">
        <v>766.25</v>
      </c>
      <c r="H76" s="10">
        <v>45669.666666666657</v>
      </c>
      <c r="I76" s="10">
        <v>45669.666666666657</v>
      </c>
      <c r="J76" s="10">
        <v>45669.668587962973</v>
      </c>
      <c r="K76" s="11">
        <v>1.9212962962962959E-3</v>
      </c>
      <c r="L76" s="13"/>
    </row>
    <row r="77" spans="1:12" x14ac:dyDescent="0.45">
      <c r="A77" s="3" t="s">
        <v>837</v>
      </c>
      <c r="B77" s="3" t="s">
        <v>946</v>
      </c>
      <c r="C77" s="3" t="s">
        <v>218</v>
      </c>
      <c r="D77" s="9">
        <v>160</v>
      </c>
      <c r="E77" s="3" t="s">
        <v>838</v>
      </c>
      <c r="F77" s="3" t="s">
        <v>139</v>
      </c>
      <c r="G77" s="9">
        <v>766.25</v>
      </c>
      <c r="H77" s="10">
        <v>45669.791666666657</v>
      </c>
      <c r="I77" s="10">
        <v>45669.791666666657</v>
      </c>
      <c r="J77" s="10">
        <v>45669.793622685182</v>
      </c>
      <c r="K77" s="11">
        <v>1.956018518518518E-3</v>
      </c>
      <c r="L77" s="13"/>
    </row>
    <row r="78" spans="1:12" x14ac:dyDescent="0.45">
      <c r="A78" s="3" t="s">
        <v>837</v>
      </c>
      <c r="B78" s="3" t="s">
        <v>947</v>
      </c>
      <c r="C78" s="3" t="s">
        <v>219</v>
      </c>
      <c r="D78" s="9">
        <v>224</v>
      </c>
      <c r="E78" s="3" t="s">
        <v>838</v>
      </c>
      <c r="F78" s="3" t="s">
        <v>139</v>
      </c>
      <c r="G78" s="9">
        <v>766.25</v>
      </c>
      <c r="H78" s="10">
        <v>45669.916666666657</v>
      </c>
      <c r="I78" s="10">
        <v>45669.916666666657</v>
      </c>
      <c r="J78" s="10">
        <v>45669.918773148151</v>
      </c>
      <c r="K78" s="11">
        <v>2.1064814814814809E-3</v>
      </c>
      <c r="L78" s="13"/>
    </row>
    <row r="79" spans="1:12" x14ac:dyDescent="0.45">
      <c r="A79" s="3" t="s">
        <v>948</v>
      </c>
      <c r="B79" s="3" t="s">
        <v>949</v>
      </c>
      <c r="C79" s="3" t="s">
        <v>250</v>
      </c>
      <c r="D79" s="9">
        <v>48</v>
      </c>
      <c r="E79" s="3"/>
      <c r="F79" s="3"/>
      <c r="G79" s="9"/>
      <c r="H79" s="10">
        <v>45663.221296296288</v>
      </c>
      <c r="I79" s="10">
        <v>45663.22215277778</v>
      </c>
      <c r="J79" s="10">
        <v>45663.229479166657</v>
      </c>
      <c r="K79" s="11">
        <v>7.3263888888888892E-3</v>
      </c>
      <c r="L79" s="13"/>
    </row>
    <row r="80" spans="1:12" x14ac:dyDescent="0.45">
      <c r="A80" s="3" t="s">
        <v>948</v>
      </c>
      <c r="B80" s="3" t="s">
        <v>950</v>
      </c>
      <c r="C80" s="3" t="s">
        <v>252</v>
      </c>
      <c r="D80" s="9">
        <v>48</v>
      </c>
      <c r="E80" s="3"/>
      <c r="F80" s="3"/>
      <c r="G80" s="9"/>
      <c r="H80" s="10">
        <v>45663.221365740741</v>
      </c>
      <c r="I80" s="10">
        <v>45663.222233796303</v>
      </c>
      <c r="J80" s="10">
        <v>45663.229571759257</v>
      </c>
      <c r="K80" s="11">
        <v>7.3379629629629628E-3</v>
      </c>
      <c r="L80" s="13"/>
    </row>
    <row r="81" spans="1:12" x14ac:dyDescent="0.45">
      <c r="A81" s="3" t="s">
        <v>948</v>
      </c>
      <c r="B81" s="3" t="s">
        <v>951</v>
      </c>
      <c r="C81" s="3" t="s">
        <v>234</v>
      </c>
      <c r="D81" s="9">
        <v>80</v>
      </c>
      <c r="E81" s="3"/>
      <c r="F81" s="3"/>
      <c r="G81" s="9"/>
      <c r="H81" s="10">
        <v>45663.224594907413</v>
      </c>
      <c r="I81" s="10">
        <v>45663.225462962961</v>
      </c>
      <c r="J81" s="10">
        <v>45663.237685185188</v>
      </c>
      <c r="K81" s="11">
        <v>1.2222222222222219E-2</v>
      </c>
      <c r="L81" s="13"/>
    </row>
    <row r="82" spans="1:12" x14ac:dyDescent="0.45">
      <c r="A82" s="3" t="s">
        <v>948</v>
      </c>
      <c r="B82" s="3" t="s">
        <v>952</v>
      </c>
      <c r="C82" s="3" t="s">
        <v>258</v>
      </c>
      <c r="D82" s="9">
        <v>80</v>
      </c>
      <c r="E82" s="3"/>
      <c r="F82" s="3"/>
      <c r="G82" s="9"/>
      <c r="H82" s="10">
        <v>45663.322465277779</v>
      </c>
      <c r="I82" s="10">
        <v>45663.323229166657</v>
      </c>
      <c r="J82" s="10">
        <v>45663.334340277783</v>
      </c>
      <c r="K82" s="11">
        <v>1.111111111111111E-2</v>
      </c>
      <c r="L82" s="13"/>
    </row>
    <row r="83" spans="1:12" x14ac:dyDescent="0.45">
      <c r="A83" s="3" t="s">
        <v>948</v>
      </c>
      <c r="B83" s="3" t="s">
        <v>953</v>
      </c>
      <c r="C83" s="3" t="s">
        <v>260</v>
      </c>
      <c r="D83" s="9">
        <v>48</v>
      </c>
      <c r="E83" s="3"/>
      <c r="F83" s="3"/>
      <c r="G83" s="9"/>
      <c r="H83" s="10">
        <v>45663.323229166657</v>
      </c>
      <c r="I83" s="10">
        <v>45663.324074074073</v>
      </c>
      <c r="J83" s="10">
        <v>45663.331412037027</v>
      </c>
      <c r="K83" s="11">
        <v>7.3379629629629628E-3</v>
      </c>
      <c r="L83" s="13"/>
    </row>
    <row r="84" spans="1:12" x14ac:dyDescent="0.45">
      <c r="A84" s="3" t="s">
        <v>948</v>
      </c>
      <c r="B84" s="3" t="s">
        <v>954</v>
      </c>
      <c r="C84" s="3" t="s">
        <v>266</v>
      </c>
      <c r="D84" s="9">
        <v>64</v>
      </c>
      <c r="E84" s="3"/>
      <c r="F84" s="3"/>
      <c r="G84" s="9"/>
      <c r="H84" s="10">
        <v>45663.477361111109</v>
      </c>
      <c r="I84" s="10">
        <v>45663.478125000001</v>
      </c>
      <c r="J84" s="10">
        <v>45663.487013888887</v>
      </c>
      <c r="K84" s="11">
        <v>8.8888888888888889E-3</v>
      </c>
      <c r="L84" s="13"/>
    </row>
    <row r="85" spans="1:12" x14ac:dyDescent="0.45">
      <c r="A85" s="3" t="s">
        <v>948</v>
      </c>
      <c r="B85" s="3" t="s">
        <v>955</v>
      </c>
      <c r="C85" s="3" t="s">
        <v>268</v>
      </c>
      <c r="D85" s="9">
        <v>64</v>
      </c>
      <c r="E85" s="3"/>
      <c r="F85" s="3"/>
      <c r="G85" s="9"/>
      <c r="H85" s="10">
        <v>45663.626875000002</v>
      </c>
      <c r="I85" s="10">
        <v>45663.627650462957</v>
      </c>
      <c r="J85" s="10">
        <v>45663.63653935185</v>
      </c>
      <c r="K85" s="11">
        <v>8.8888888888888889E-3</v>
      </c>
      <c r="L85" s="13"/>
    </row>
    <row r="86" spans="1:12" x14ac:dyDescent="0.45">
      <c r="A86" s="3" t="s">
        <v>948</v>
      </c>
      <c r="B86" s="3" t="s">
        <v>956</v>
      </c>
      <c r="C86" s="3" t="s">
        <v>270</v>
      </c>
      <c r="D86" s="9">
        <v>32</v>
      </c>
      <c r="E86" s="3"/>
      <c r="F86" s="3"/>
      <c r="G86" s="9"/>
      <c r="H86" s="10">
        <v>45663.627812500003</v>
      </c>
      <c r="I86" s="10">
        <v>45663.628599537027</v>
      </c>
      <c r="J86" s="10">
        <v>45663.633043981477</v>
      </c>
      <c r="K86" s="11">
        <v>4.4444444444444436E-3</v>
      </c>
      <c r="L86" s="13"/>
    </row>
    <row r="87" spans="1:12" x14ac:dyDescent="0.45">
      <c r="A87" s="3" t="s">
        <v>948</v>
      </c>
      <c r="B87" s="3" t="s">
        <v>957</v>
      </c>
      <c r="C87" s="3" t="s">
        <v>272</v>
      </c>
      <c r="D87" s="9">
        <v>48</v>
      </c>
      <c r="E87" s="3"/>
      <c r="F87" s="3"/>
      <c r="G87" s="9"/>
      <c r="H87" s="10">
        <v>45663.628599537027</v>
      </c>
      <c r="I87" s="10">
        <v>45663.629444444443</v>
      </c>
      <c r="J87" s="10">
        <v>45663.636770833327</v>
      </c>
      <c r="K87" s="11">
        <v>7.3263888888888892E-3</v>
      </c>
      <c r="L87" s="13"/>
    </row>
    <row r="88" spans="1:12" x14ac:dyDescent="0.45">
      <c r="A88" s="3" t="s">
        <v>948</v>
      </c>
      <c r="B88" s="3" t="s">
        <v>958</v>
      </c>
      <c r="C88" s="3" t="s">
        <v>274</v>
      </c>
      <c r="D88" s="9">
        <v>32</v>
      </c>
      <c r="E88" s="3"/>
      <c r="F88" s="3"/>
      <c r="G88" s="9"/>
      <c r="H88" s="10">
        <v>45663.629016203697</v>
      </c>
      <c r="I88" s="10">
        <v>45663.629861111112</v>
      </c>
      <c r="J88" s="10">
        <v>45663.634745370371</v>
      </c>
      <c r="K88" s="11">
        <v>4.8842592592592592E-3</v>
      </c>
      <c r="L88" s="13"/>
    </row>
    <row r="89" spans="1:12" x14ac:dyDescent="0.45">
      <c r="A89" s="3" t="s">
        <v>948</v>
      </c>
      <c r="B89" s="3" t="s">
        <v>959</v>
      </c>
      <c r="C89" s="3" t="s">
        <v>276</v>
      </c>
      <c r="D89" s="9">
        <v>48</v>
      </c>
      <c r="E89" s="3"/>
      <c r="F89" s="3"/>
      <c r="G89" s="9"/>
      <c r="H89" s="10">
        <v>45664.25885416667</v>
      </c>
      <c r="I89" s="10">
        <v>45664.259722222218</v>
      </c>
      <c r="J89" s="10">
        <v>45664.267048611109</v>
      </c>
      <c r="K89" s="11">
        <v>7.3263888888888892E-3</v>
      </c>
      <c r="L89" s="13"/>
    </row>
    <row r="90" spans="1:12" x14ac:dyDescent="0.45">
      <c r="A90" s="3" t="s">
        <v>948</v>
      </c>
      <c r="B90" s="3" t="s">
        <v>960</v>
      </c>
      <c r="C90" s="3" t="s">
        <v>278</v>
      </c>
      <c r="D90" s="9">
        <v>64</v>
      </c>
      <c r="E90" s="3"/>
      <c r="F90" s="3"/>
      <c r="G90" s="9"/>
      <c r="H90" s="10">
        <v>45664.260439814818</v>
      </c>
      <c r="I90" s="10">
        <v>45664.261307870373</v>
      </c>
      <c r="J90" s="10">
        <v>45664.271087962959</v>
      </c>
      <c r="K90" s="11">
        <v>9.780092592592592E-3</v>
      </c>
      <c r="L90" s="13"/>
    </row>
    <row r="91" spans="1:12" x14ac:dyDescent="0.45">
      <c r="A91" s="3" t="s">
        <v>948</v>
      </c>
      <c r="B91" s="3" t="s">
        <v>961</v>
      </c>
      <c r="C91" s="3" t="s">
        <v>280</v>
      </c>
      <c r="D91" s="9">
        <v>48</v>
      </c>
      <c r="E91" s="3"/>
      <c r="F91" s="3"/>
      <c r="G91" s="9"/>
      <c r="H91" s="10">
        <v>45664.261307870373</v>
      </c>
      <c r="I91" s="10">
        <v>45664.262152777781</v>
      </c>
      <c r="J91" s="10">
        <v>45664.269490740742</v>
      </c>
      <c r="K91" s="11">
        <v>7.3379629629629628E-3</v>
      </c>
      <c r="L91" s="13"/>
    </row>
    <row r="92" spans="1:12" x14ac:dyDescent="0.45">
      <c r="A92" s="3" t="s">
        <v>948</v>
      </c>
      <c r="B92" s="3" t="s">
        <v>962</v>
      </c>
      <c r="C92" s="3" t="s">
        <v>286</v>
      </c>
      <c r="D92" s="9">
        <v>80</v>
      </c>
      <c r="E92" s="3"/>
      <c r="F92" s="3"/>
      <c r="G92" s="9"/>
      <c r="H92" s="10">
        <v>45664.269363425927</v>
      </c>
      <c r="I92" s="10">
        <v>45664.270138888889</v>
      </c>
      <c r="J92" s="10">
        <v>45664.28125</v>
      </c>
      <c r="K92" s="11">
        <v>1.111111111111111E-2</v>
      </c>
      <c r="L92" s="13"/>
    </row>
    <row r="93" spans="1:12" x14ac:dyDescent="0.45">
      <c r="A93" s="3" t="s">
        <v>948</v>
      </c>
      <c r="B93" s="3" t="s">
        <v>963</v>
      </c>
      <c r="C93" s="3" t="s">
        <v>294</v>
      </c>
      <c r="D93" s="9">
        <v>64</v>
      </c>
      <c r="E93" s="3"/>
      <c r="F93" s="3"/>
      <c r="G93" s="9"/>
      <c r="H93" s="10">
        <v>45664.280451388891</v>
      </c>
      <c r="I93" s="10">
        <v>45664.288483796299</v>
      </c>
      <c r="J93" s="10">
        <v>45664.298263888893</v>
      </c>
      <c r="K93" s="11">
        <v>9.780092592592592E-3</v>
      </c>
      <c r="L93" s="13"/>
    </row>
    <row r="94" spans="1:12" x14ac:dyDescent="0.45">
      <c r="A94" s="3" t="s">
        <v>948</v>
      </c>
      <c r="B94" s="3" t="s">
        <v>964</v>
      </c>
      <c r="C94" s="3" t="s">
        <v>296</v>
      </c>
      <c r="D94" s="9">
        <v>32</v>
      </c>
      <c r="E94" s="3"/>
      <c r="F94" s="3"/>
      <c r="G94" s="9"/>
      <c r="H94" s="10">
        <v>45664.285173611112</v>
      </c>
      <c r="I94" s="10">
        <v>45664.29173611111</v>
      </c>
      <c r="J94" s="10">
        <v>45664.296180555553</v>
      </c>
      <c r="K94" s="11">
        <v>4.4444444444444436E-3</v>
      </c>
      <c r="L94" s="13"/>
    </row>
    <row r="95" spans="1:12" x14ac:dyDescent="0.45">
      <c r="A95" s="3" t="s">
        <v>948</v>
      </c>
      <c r="B95" s="3" t="s">
        <v>965</v>
      </c>
      <c r="C95" s="3" t="s">
        <v>307</v>
      </c>
      <c r="D95" s="9">
        <v>32</v>
      </c>
      <c r="E95" s="3"/>
      <c r="F95" s="3"/>
      <c r="G95" s="9"/>
      <c r="H95" s="10">
        <v>45664.297731481478</v>
      </c>
      <c r="I95" s="10">
        <v>45664.299004629633</v>
      </c>
      <c r="J95" s="10">
        <v>45664.303449074083</v>
      </c>
      <c r="K95" s="11">
        <v>4.4444444444444436E-3</v>
      </c>
      <c r="L95" s="13"/>
    </row>
    <row r="96" spans="1:12" x14ac:dyDescent="0.45">
      <c r="A96" s="3" t="s">
        <v>948</v>
      </c>
      <c r="B96" s="3" t="s">
        <v>966</v>
      </c>
      <c r="C96" s="3" t="s">
        <v>309</v>
      </c>
      <c r="D96" s="9">
        <v>32</v>
      </c>
      <c r="E96" s="3"/>
      <c r="F96" s="3"/>
      <c r="G96" s="9"/>
      <c r="H96" s="10">
        <v>45664.299004629633</v>
      </c>
      <c r="I96" s="10">
        <v>45664.3</v>
      </c>
      <c r="J96" s="10">
        <v>45664.304895833331</v>
      </c>
      <c r="K96" s="11">
        <v>4.8958333333333336E-3</v>
      </c>
      <c r="L96" s="13"/>
    </row>
    <row r="97" spans="1:12" x14ac:dyDescent="0.45">
      <c r="A97" s="3" t="s">
        <v>948</v>
      </c>
      <c r="B97" s="3" t="s">
        <v>967</v>
      </c>
      <c r="C97" s="3" t="s">
        <v>311</v>
      </c>
      <c r="D97" s="9">
        <v>48</v>
      </c>
      <c r="E97" s="3"/>
      <c r="F97" s="3"/>
      <c r="G97" s="9"/>
      <c r="H97" s="10">
        <v>45664.301620370366</v>
      </c>
      <c r="I97" s="10">
        <v>45664.302395833343</v>
      </c>
      <c r="J97" s="10">
        <v>45664.309062499997</v>
      </c>
      <c r="K97" s="11">
        <v>6.6666666666666671E-3</v>
      </c>
      <c r="L97" s="13"/>
    </row>
    <row r="98" spans="1:12" x14ac:dyDescent="0.45">
      <c r="A98" s="3" t="s">
        <v>948</v>
      </c>
      <c r="B98" s="3" t="s">
        <v>968</v>
      </c>
      <c r="C98" s="3" t="s">
        <v>313</v>
      </c>
      <c r="D98" s="9">
        <v>32</v>
      </c>
      <c r="E98" s="3"/>
      <c r="F98" s="3"/>
      <c r="G98" s="9"/>
      <c r="H98" s="10">
        <v>45664.302395833343</v>
      </c>
      <c r="I98" s="10">
        <v>45664.303229166668</v>
      </c>
      <c r="J98" s="10">
        <v>45664.308125000003</v>
      </c>
      <c r="K98" s="11">
        <v>4.8958333333333336E-3</v>
      </c>
      <c r="L98" s="13"/>
    </row>
    <row r="99" spans="1:12" x14ac:dyDescent="0.45">
      <c r="A99" s="3" t="s">
        <v>948</v>
      </c>
      <c r="B99" s="3" t="s">
        <v>969</v>
      </c>
      <c r="C99" s="3" t="s">
        <v>315</v>
      </c>
      <c r="D99" s="9">
        <v>64</v>
      </c>
      <c r="E99" s="3"/>
      <c r="F99" s="3"/>
      <c r="G99" s="9"/>
      <c r="H99" s="10">
        <v>45664.30300925926</v>
      </c>
      <c r="I99" s="10">
        <v>45664.305034722223</v>
      </c>
      <c r="J99" s="10">
        <v>45664.313923611109</v>
      </c>
      <c r="K99" s="11">
        <v>8.8888888888888889E-3</v>
      </c>
      <c r="L99" s="13"/>
    </row>
    <row r="100" spans="1:12" x14ac:dyDescent="0.45">
      <c r="A100" s="3" t="s">
        <v>948</v>
      </c>
      <c r="B100" s="3" t="s">
        <v>970</v>
      </c>
      <c r="C100" s="3" t="s">
        <v>317</v>
      </c>
      <c r="D100" s="9">
        <v>48</v>
      </c>
      <c r="E100" s="3"/>
      <c r="F100" s="3"/>
      <c r="G100" s="9"/>
      <c r="H100" s="10">
        <v>45664.305034722223</v>
      </c>
      <c r="I100" s="10">
        <v>45664.306631944448</v>
      </c>
      <c r="J100" s="10">
        <v>45664.313958333332</v>
      </c>
      <c r="K100" s="11">
        <v>7.3263888888888892E-3</v>
      </c>
      <c r="L100" s="13"/>
    </row>
    <row r="101" spans="1:12" x14ac:dyDescent="0.45">
      <c r="A101" s="3" t="s">
        <v>948</v>
      </c>
      <c r="B101" s="3" t="s">
        <v>971</v>
      </c>
      <c r="C101" s="3" t="s">
        <v>322</v>
      </c>
      <c r="D101" s="9">
        <v>48</v>
      </c>
      <c r="E101" s="3"/>
      <c r="F101" s="3"/>
      <c r="G101" s="9"/>
      <c r="H101" s="10">
        <v>45664.55060185185</v>
      </c>
      <c r="I101" s="10">
        <v>45664.551469907397</v>
      </c>
      <c r="J101" s="10">
        <v>45664.558796296304</v>
      </c>
      <c r="K101" s="11">
        <v>7.3263888888888892E-3</v>
      </c>
      <c r="L101" s="13"/>
    </row>
    <row r="102" spans="1:12" x14ac:dyDescent="0.45">
      <c r="A102" s="3" t="s">
        <v>948</v>
      </c>
      <c r="B102" s="3" t="s">
        <v>972</v>
      </c>
      <c r="C102" s="3" t="s">
        <v>324</v>
      </c>
      <c r="D102" s="9">
        <v>48</v>
      </c>
      <c r="E102" s="3"/>
      <c r="F102" s="3"/>
      <c r="G102" s="9"/>
      <c r="H102" s="10">
        <v>45664.551469907397</v>
      </c>
      <c r="I102" s="10">
        <v>45664.552337962959</v>
      </c>
      <c r="J102" s="10">
        <v>45664.559664351851</v>
      </c>
      <c r="K102" s="11">
        <v>7.3263888888888892E-3</v>
      </c>
      <c r="L102" s="13"/>
    </row>
    <row r="103" spans="1:12" x14ac:dyDescent="0.45">
      <c r="A103" s="3" t="s">
        <v>948</v>
      </c>
      <c r="B103" s="3" t="s">
        <v>973</v>
      </c>
      <c r="C103" s="3" t="s">
        <v>326</v>
      </c>
      <c r="D103" s="9">
        <v>32</v>
      </c>
      <c r="E103" s="3"/>
      <c r="F103" s="3"/>
      <c r="G103" s="9"/>
      <c r="H103" s="10">
        <v>45664.695300925923</v>
      </c>
      <c r="I103" s="10">
        <v>45664.696168981478</v>
      </c>
      <c r="J103" s="10">
        <v>45664.701064814813</v>
      </c>
      <c r="K103" s="11">
        <v>4.8958333333333336E-3</v>
      </c>
      <c r="L103" s="13"/>
    </row>
    <row r="104" spans="1:12" x14ac:dyDescent="0.45">
      <c r="A104" s="3" t="s">
        <v>948</v>
      </c>
      <c r="B104" s="3" t="s">
        <v>974</v>
      </c>
      <c r="C104" s="3" t="s">
        <v>328</v>
      </c>
      <c r="D104" s="9">
        <v>48</v>
      </c>
      <c r="E104" s="3"/>
      <c r="F104" s="3"/>
      <c r="G104" s="9"/>
      <c r="H104" s="10">
        <v>45664.696168981478</v>
      </c>
      <c r="I104" s="10">
        <v>45664.69703703704</v>
      </c>
      <c r="J104" s="10">
        <v>45664.704375000001</v>
      </c>
      <c r="K104" s="11">
        <v>7.3379629629629628E-3</v>
      </c>
      <c r="L104" s="13"/>
    </row>
    <row r="105" spans="1:12" x14ac:dyDescent="0.45">
      <c r="A105" s="3" t="s">
        <v>948</v>
      </c>
      <c r="B105" s="3" t="s">
        <v>975</v>
      </c>
      <c r="C105" s="3" t="s">
        <v>347</v>
      </c>
      <c r="D105" s="9">
        <v>64</v>
      </c>
      <c r="E105" s="3"/>
      <c r="F105" s="3"/>
      <c r="G105" s="9"/>
      <c r="H105" s="10">
        <v>45665.242060185177</v>
      </c>
      <c r="I105" s="10">
        <v>45665.242905092593</v>
      </c>
      <c r="J105" s="10">
        <v>45665.25267361111</v>
      </c>
      <c r="K105" s="11">
        <v>9.7685185185185184E-3</v>
      </c>
      <c r="L105" s="13"/>
    </row>
    <row r="106" spans="1:12" x14ac:dyDescent="0.45">
      <c r="A106" s="3" t="s">
        <v>948</v>
      </c>
      <c r="B106" s="3" t="s">
        <v>976</v>
      </c>
      <c r="C106" s="3" t="s">
        <v>336</v>
      </c>
      <c r="D106" s="9">
        <v>32</v>
      </c>
      <c r="E106" s="3"/>
      <c r="F106" s="3"/>
      <c r="G106" s="9"/>
      <c r="H106" s="10">
        <v>45665.242974537039</v>
      </c>
      <c r="I106" s="10">
        <v>45665.243819444448</v>
      </c>
      <c r="J106" s="10">
        <v>45665.248715277783</v>
      </c>
      <c r="K106" s="11">
        <v>4.8958333333333336E-3</v>
      </c>
      <c r="L106" s="13"/>
    </row>
    <row r="107" spans="1:12" x14ac:dyDescent="0.45">
      <c r="A107" s="3" t="s">
        <v>948</v>
      </c>
      <c r="B107" s="3" t="s">
        <v>977</v>
      </c>
      <c r="C107" s="3" t="s">
        <v>338</v>
      </c>
      <c r="D107" s="9">
        <v>64</v>
      </c>
      <c r="E107" s="3"/>
      <c r="F107" s="3"/>
      <c r="G107" s="9"/>
      <c r="H107" s="10">
        <v>45665.243946759263</v>
      </c>
      <c r="I107" s="10">
        <v>45665.244733796288</v>
      </c>
      <c r="J107" s="10">
        <v>45665.253622685188</v>
      </c>
      <c r="K107" s="11">
        <v>8.8888888888888889E-3</v>
      </c>
      <c r="L107" s="13"/>
    </row>
    <row r="108" spans="1:12" x14ac:dyDescent="0.45">
      <c r="A108" s="3" t="s">
        <v>948</v>
      </c>
      <c r="B108" s="3" t="s">
        <v>978</v>
      </c>
      <c r="C108" s="3" t="s">
        <v>340</v>
      </c>
      <c r="D108" s="9">
        <v>32</v>
      </c>
      <c r="E108" s="3"/>
      <c r="F108" s="3"/>
      <c r="G108" s="9"/>
      <c r="H108" s="10">
        <v>45665.244733796288</v>
      </c>
      <c r="I108" s="10">
        <v>45665.24560185185</v>
      </c>
      <c r="J108" s="10">
        <v>45665.250497685192</v>
      </c>
      <c r="K108" s="11">
        <v>4.8958333333333336E-3</v>
      </c>
      <c r="L108" s="13"/>
    </row>
    <row r="109" spans="1:12" x14ac:dyDescent="0.45">
      <c r="A109" s="3" t="s">
        <v>948</v>
      </c>
      <c r="B109" s="3" t="s">
        <v>979</v>
      </c>
      <c r="C109" s="3" t="s">
        <v>342</v>
      </c>
      <c r="D109" s="9">
        <v>64</v>
      </c>
      <c r="E109" s="3"/>
      <c r="F109" s="3"/>
      <c r="G109" s="9"/>
      <c r="H109" s="10">
        <v>45665.24491898148</v>
      </c>
      <c r="I109" s="10">
        <v>45665.245694444442</v>
      </c>
      <c r="J109" s="10">
        <v>45665.254583333342</v>
      </c>
      <c r="K109" s="11">
        <v>8.8888888888888889E-3</v>
      </c>
      <c r="L109" s="13"/>
    </row>
    <row r="110" spans="1:12" x14ac:dyDescent="0.45">
      <c r="A110" s="3" t="s">
        <v>948</v>
      </c>
      <c r="B110" s="3" t="s">
        <v>980</v>
      </c>
      <c r="C110" s="3" t="s">
        <v>360</v>
      </c>
      <c r="D110" s="9">
        <v>48</v>
      </c>
      <c r="E110" s="3"/>
      <c r="F110" s="3"/>
      <c r="G110" s="9"/>
      <c r="H110" s="10">
        <v>45665.385659722233</v>
      </c>
      <c r="I110" s="10">
        <v>45665.386446759258</v>
      </c>
      <c r="J110" s="10">
        <v>45665.393113425933</v>
      </c>
      <c r="K110" s="11">
        <v>6.6666666666666671E-3</v>
      </c>
      <c r="L110" s="13"/>
    </row>
    <row r="111" spans="1:12" x14ac:dyDescent="0.45">
      <c r="A111" s="3" t="s">
        <v>948</v>
      </c>
      <c r="B111" s="3" t="s">
        <v>981</v>
      </c>
      <c r="C111" s="3" t="s">
        <v>362</v>
      </c>
      <c r="D111" s="9">
        <v>32</v>
      </c>
      <c r="E111" s="3"/>
      <c r="F111" s="3"/>
      <c r="G111" s="9"/>
      <c r="H111" s="10">
        <v>45665.386446759258</v>
      </c>
      <c r="I111" s="10">
        <v>45665.387314814812</v>
      </c>
      <c r="J111" s="10">
        <v>45665.392199074071</v>
      </c>
      <c r="K111" s="11">
        <v>4.8842592592592592E-3</v>
      </c>
      <c r="L111" s="13"/>
    </row>
    <row r="112" spans="1:12" x14ac:dyDescent="0.45">
      <c r="A112" s="3" t="s">
        <v>948</v>
      </c>
      <c r="B112" s="3" t="s">
        <v>982</v>
      </c>
      <c r="C112" s="3" t="s">
        <v>364</v>
      </c>
      <c r="D112" s="9">
        <v>32</v>
      </c>
      <c r="E112" s="3"/>
      <c r="F112" s="3"/>
      <c r="G112" s="9"/>
      <c r="H112" s="10">
        <v>45665.387314814812</v>
      </c>
      <c r="I112" s="10">
        <v>45665.388148148151</v>
      </c>
      <c r="J112" s="10">
        <v>45665.39303240741</v>
      </c>
      <c r="K112" s="11">
        <v>4.8842592592592592E-3</v>
      </c>
      <c r="L112" s="13"/>
    </row>
    <row r="113" spans="1:12" x14ac:dyDescent="0.45">
      <c r="A113" s="3" t="s">
        <v>948</v>
      </c>
      <c r="B113" s="3" t="s">
        <v>983</v>
      </c>
      <c r="C113" s="3" t="s">
        <v>366</v>
      </c>
      <c r="D113" s="9">
        <v>32</v>
      </c>
      <c r="E113" s="3"/>
      <c r="F113" s="3"/>
      <c r="G113" s="9"/>
      <c r="H113" s="10">
        <v>45665.388148148151</v>
      </c>
      <c r="I113" s="10">
        <v>45665.388923611114</v>
      </c>
      <c r="J113" s="10">
        <v>45665.393368055556</v>
      </c>
      <c r="K113" s="11">
        <v>4.4444444444444436E-3</v>
      </c>
      <c r="L113" s="13"/>
    </row>
    <row r="114" spans="1:12" x14ac:dyDescent="0.45">
      <c r="A114" s="3" t="s">
        <v>948</v>
      </c>
      <c r="B114" s="3" t="s">
        <v>984</v>
      </c>
      <c r="C114" s="3" t="s">
        <v>368</v>
      </c>
      <c r="D114" s="9">
        <v>32</v>
      </c>
      <c r="E114" s="3"/>
      <c r="F114" s="3"/>
      <c r="G114" s="9"/>
      <c r="H114" s="10">
        <v>45665.389131944437</v>
      </c>
      <c r="I114" s="10">
        <v>45665.39</v>
      </c>
      <c r="J114" s="10">
        <v>45665.394884259258</v>
      </c>
      <c r="K114" s="11">
        <v>4.8842592592592592E-3</v>
      </c>
      <c r="L114" s="13"/>
    </row>
    <row r="115" spans="1:12" x14ac:dyDescent="0.45">
      <c r="A115" s="3" t="s">
        <v>948</v>
      </c>
      <c r="B115" s="3" t="s">
        <v>985</v>
      </c>
      <c r="C115" s="3" t="s">
        <v>370</v>
      </c>
      <c r="D115" s="9">
        <v>48</v>
      </c>
      <c r="E115" s="3"/>
      <c r="F115" s="3"/>
      <c r="G115" s="9"/>
      <c r="H115" s="10">
        <v>45665.39</v>
      </c>
      <c r="I115" s="10">
        <v>45665.390844907408</v>
      </c>
      <c r="J115" s="10">
        <v>45665.3981712963</v>
      </c>
      <c r="K115" s="11">
        <v>7.3263888888888892E-3</v>
      </c>
      <c r="L115" s="13"/>
    </row>
    <row r="116" spans="1:12" x14ac:dyDescent="0.45">
      <c r="A116" s="3" t="s">
        <v>948</v>
      </c>
      <c r="B116" s="3" t="s">
        <v>986</v>
      </c>
      <c r="C116" s="3" t="s">
        <v>372</v>
      </c>
      <c r="D116" s="9">
        <v>64</v>
      </c>
      <c r="E116" s="3"/>
      <c r="F116" s="3"/>
      <c r="G116" s="9"/>
      <c r="H116" s="10">
        <v>45665.390844907408</v>
      </c>
      <c r="I116" s="10">
        <v>45665.393935185188</v>
      </c>
      <c r="J116" s="10">
        <v>45665.403715277767</v>
      </c>
      <c r="K116" s="11">
        <v>9.780092592592592E-3</v>
      </c>
      <c r="L116" s="13"/>
    </row>
    <row r="117" spans="1:12" x14ac:dyDescent="0.45">
      <c r="A117" s="3" t="s">
        <v>948</v>
      </c>
      <c r="B117" s="3" t="s">
        <v>987</v>
      </c>
      <c r="C117" s="3" t="s">
        <v>380</v>
      </c>
      <c r="D117" s="9">
        <v>64</v>
      </c>
      <c r="E117" s="3"/>
      <c r="F117" s="3"/>
      <c r="G117" s="9"/>
      <c r="H117" s="10">
        <v>45665.408333333333</v>
      </c>
      <c r="I117" s="10">
        <v>45665.411226851851</v>
      </c>
      <c r="J117" s="10">
        <v>45665.420115740737</v>
      </c>
      <c r="K117" s="11">
        <v>8.8888888888888889E-3</v>
      </c>
      <c r="L117" s="13"/>
    </row>
    <row r="118" spans="1:12" x14ac:dyDescent="0.45">
      <c r="A118" s="3" t="s">
        <v>948</v>
      </c>
      <c r="B118" s="3" t="s">
        <v>988</v>
      </c>
      <c r="C118" s="3" t="s">
        <v>382</v>
      </c>
      <c r="D118" s="9">
        <v>32</v>
      </c>
      <c r="E118" s="3"/>
      <c r="F118" s="3"/>
      <c r="G118" s="9"/>
      <c r="H118" s="10">
        <v>45665.411226851851</v>
      </c>
      <c r="I118" s="10">
        <v>45665.416585648149</v>
      </c>
      <c r="J118" s="10">
        <v>45665.421481481477</v>
      </c>
      <c r="K118" s="11">
        <v>4.8958333333333336E-3</v>
      </c>
      <c r="L118" s="13"/>
    </row>
    <row r="119" spans="1:12" x14ac:dyDescent="0.45">
      <c r="A119" s="3" t="s">
        <v>948</v>
      </c>
      <c r="B119" s="3" t="s">
        <v>989</v>
      </c>
      <c r="C119" s="3" t="s">
        <v>387</v>
      </c>
      <c r="D119" s="9">
        <v>32</v>
      </c>
      <c r="E119" s="3"/>
      <c r="F119" s="3"/>
      <c r="G119" s="9"/>
      <c r="H119" s="10">
        <v>45665.421666666669</v>
      </c>
      <c r="I119" s="10">
        <v>45665.423217592594</v>
      </c>
      <c r="J119" s="10">
        <v>45665.428101851852</v>
      </c>
      <c r="K119" s="11">
        <v>4.8842592592592592E-3</v>
      </c>
      <c r="L119" s="13"/>
    </row>
    <row r="120" spans="1:12" x14ac:dyDescent="0.45">
      <c r="A120" s="3" t="s">
        <v>948</v>
      </c>
      <c r="B120" s="3" t="s">
        <v>990</v>
      </c>
      <c r="C120" s="3" t="s">
        <v>389</v>
      </c>
      <c r="D120" s="9">
        <v>48</v>
      </c>
      <c r="E120" s="3"/>
      <c r="F120" s="3"/>
      <c r="G120" s="9"/>
      <c r="H120" s="10">
        <v>45665.423217592594</v>
      </c>
      <c r="I120" s="10">
        <v>45665.426874999997</v>
      </c>
      <c r="J120" s="10">
        <v>45665.433541666673</v>
      </c>
      <c r="K120" s="11">
        <v>6.6666666666666671E-3</v>
      </c>
      <c r="L120" s="13"/>
    </row>
    <row r="121" spans="1:12" x14ac:dyDescent="0.45">
      <c r="A121" s="3" t="s">
        <v>948</v>
      </c>
      <c r="B121" s="3" t="s">
        <v>991</v>
      </c>
      <c r="C121" s="3" t="s">
        <v>391</v>
      </c>
      <c r="D121" s="9">
        <v>48</v>
      </c>
      <c r="E121" s="3"/>
      <c r="F121" s="3"/>
      <c r="G121" s="9"/>
      <c r="H121" s="10">
        <v>45665.430891203701</v>
      </c>
      <c r="I121" s="10">
        <v>45665.431655092587</v>
      </c>
      <c r="J121" s="10">
        <v>45665.438321759262</v>
      </c>
      <c r="K121" s="11">
        <v>6.6666666666666671E-3</v>
      </c>
      <c r="L121" s="13"/>
    </row>
    <row r="122" spans="1:12" x14ac:dyDescent="0.45">
      <c r="A122" s="3" t="s">
        <v>948</v>
      </c>
      <c r="B122" s="3" t="s">
        <v>992</v>
      </c>
      <c r="C122" s="3" t="s">
        <v>393</v>
      </c>
      <c r="D122" s="9">
        <v>64</v>
      </c>
      <c r="E122" s="3"/>
      <c r="F122" s="3"/>
      <c r="G122" s="9"/>
      <c r="H122" s="10">
        <v>45665.431655092587</v>
      </c>
      <c r="I122" s="10">
        <v>45665.435115740736</v>
      </c>
      <c r="J122" s="10">
        <v>45665.444004629629</v>
      </c>
      <c r="K122" s="11">
        <v>8.8888888888888889E-3</v>
      </c>
      <c r="L122" s="13"/>
    </row>
    <row r="123" spans="1:12" x14ac:dyDescent="0.45">
      <c r="A123" s="3" t="s">
        <v>948</v>
      </c>
      <c r="B123" s="3" t="s">
        <v>993</v>
      </c>
      <c r="C123" s="3" t="s">
        <v>395</v>
      </c>
      <c r="D123" s="9">
        <v>64</v>
      </c>
      <c r="E123" s="3"/>
      <c r="F123" s="3"/>
      <c r="G123" s="9"/>
      <c r="H123" s="10">
        <v>45665.435115740736</v>
      </c>
      <c r="I123" s="10">
        <v>45665.4455787037</v>
      </c>
      <c r="J123" s="10">
        <v>45665.454467592594</v>
      </c>
      <c r="K123" s="11">
        <v>8.8888888888888889E-3</v>
      </c>
      <c r="L123" s="13"/>
    </row>
    <row r="124" spans="1:12" x14ac:dyDescent="0.45">
      <c r="A124" s="3" t="s">
        <v>948</v>
      </c>
      <c r="B124" s="3" t="s">
        <v>994</v>
      </c>
      <c r="C124" s="3" t="s">
        <v>400</v>
      </c>
      <c r="D124" s="9">
        <v>48</v>
      </c>
      <c r="E124" s="3"/>
      <c r="F124" s="3"/>
      <c r="G124" s="9"/>
      <c r="H124" s="10">
        <v>45665.603032407409</v>
      </c>
      <c r="I124" s="10">
        <v>45665.603900462957</v>
      </c>
      <c r="J124" s="10">
        <v>45665.611238425918</v>
      </c>
      <c r="K124" s="11">
        <v>7.3379629629629628E-3</v>
      </c>
      <c r="L124" s="13"/>
    </row>
    <row r="125" spans="1:12" x14ac:dyDescent="0.45">
      <c r="A125" s="3" t="s">
        <v>948</v>
      </c>
      <c r="B125" s="3" t="s">
        <v>995</v>
      </c>
      <c r="C125" s="3" t="s">
        <v>402</v>
      </c>
      <c r="D125" s="9">
        <v>48</v>
      </c>
      <c r="E125" s="3"/>
      <c r="F125" s="3"/>
      <c r="G125" s="9"/>
      <c r="H125" s="10">
        <v>45665.604050925933</v>
      </c>
      <c r="I125" s="10">
        <v>45665.604837962957</v>
      </c>
      <c r="J125" s="10">
        <v>45665.611504629633</v>
      </c>
      <c r="K125" s="11">
        <v>6.6666666666666671E-3</v>
      </c>
      <c r="L125" s="13"/>
    </row>
    <row r="126" spans="1:12" x14ac:dyDescent="0.45">
      <c r="A126" s="3" t="s">
        <v>948</v>
      </c>
      <c r="B126" s="3" t="s">
        <v>996</v>
      </c>
      <c r="C126" s="3" t="s">
        <v>404</v>
      </c>
      <c r="D126" s="9">
        <v>64</v>
      </c>
      <c r="E126" s="3"/>
      <c r="F126" s="3"/>
      <c r="G126" s="9"/>
      <c r="H126" s="10">
        <v>45665.604837962957</v>
      </c>
      <c r="I126" s="10">
        <v>45665.60560185185</v>
      </c>
      <c r="J126" s="10">
        <v>45665.614490740743</v>
      </c>
      <c r="K126" s="11">
        <v>8.8888888888888889E-3</v>
      </c>
      <c r="L126" s="13"/>
    </row>
    <row r="127" spans="1:12" x14ac:dyDescent="0.45">
      <c r="A127" s="3" t="s">
        <v>948</v>
      </c>
      <c r="B127" s="3" t="s">
        <v>997</v>
      </c>
      <c r="C127" s="3" t="s">
        <v>409</v>
      </c>
      <c r="D127" s="9">
        <v>48</v>
      </c>
      <c r="E127" s="3"/>
      <c r="F127" s="3"/>
      <c r="G127" s="9"/>
      <c r="H127" s="10">
        <v>45665.75885416667</v>
      </c>
      <c r="I127" s="10">
        <v>45665.759722222218</v>
      </c>
      <c r="J127" s="10">
        <v>45665.767060185193</v>
      </c>
      <c r="K127" s="11">
        <v>7.3379629629629628E-3</v>
      </c>
      <c r="L127" s="13"/>
    </row>
    <row r="128" spans="1:12" x14ac:dyDescent="0.45">
      <c r="A128" s="3" t="s">
        <v>948</v>
      </c>
      <c r="B128" s="3" t="s">
        <v>998</v>
      </c>
      <c r="C128" s="3" t="s">
        <v>414</v>
      </c>
      <c r="D128" s="9">
        <v>32</v>
      </c>
      <c r="E128" s="3"/>
      <c r="F128" s="3"/>
      <c r="G128" s="9"/>
      <c r="H128" s="10">
        <v>45665.907754629632</v>
      </c>
      <c r="I128" s="10">
        <v>45665.908518518518</v>
      </c>
      <c r="J128" s="10">
        <v>45665.912962962961</v>
      </c>
      <c r="K128" s="11">
        <v>4.4444444444444436E-3</v>
      </c>
      <c r="L128" s="13"/>
    </row>
    <row r="129" spans="1:12" x14ac:dyDescent="0.45">
      <c r="A129" s="3" t="s">
        <v>948</v>
      </c>
      <c r="B129" s="3" t="s">
        <v>999</v>
      </c>
      <c r="C129" s="3" t="s">
        <v>416</v>
      </c>
      <c r="D129" s="9">
        <v>64</v>
      </c>
      <c r="E129" s="3"/>
      <c r="F129" s="3"/>
      <c r="G129" s="9"/>
      <c r="H129" s="10">
        <v>45665.908518518518</v>
      </c>
      <c r="I129" s="10">
        <v>45665.909386574072</v>
      </c>
      <c r="J129" s="10">
        <v>45665.919166666667</v>
      </c>
      <c r="K129" s="11">
        <v>9.780092592592592E-3</v>
      </c>
      <c r="L129" s="13"/>
    </row>
    <row r="130" spans="1:12" x14ac:dyDescent="0.45">
      <c r="A130" s="3" t="s">
        <v>948</v>
      </c>
      <c r="B130" s="3" t="s">
        <v>1000</v>
      </c>
      <c r="C130" s="3" t="s">
        <v>418</v>
      </c>
      <c r="D130" s="9">
        <v>48</v>
      </c>
      <c r="E130" s="3"/>
      <c r="F130" s="3"/>
      <c r="G130" s="9"/>
      <c r="H130" s="10">
        <v>45665.909386574072</v>
      </c>
      <c r="I130" s="10">
        <v>45665.910243055558</v>
      </c>
      <c r="J130" s="10">
        <v>45665.917569444442</v>
      </c>
      <c r="K130" s="11">
        <v>7.3263888888888892E-3</v>
      </c>
      <c r="L130" s="13"/>
    </row>
    <row r="131" spans="1:12" x14ac:dyDescent="0.45">
      <c r="A131" s="3" t="s">
        <v>948</v>
      </c>
      <c r="B131" s="3" t="s">
        <v>1001</v>
      </c>
      <c r="C131" s="3" t="s">
        <v>420</v>
      </c>
      <c r="D131" s="9">
        <v>64</v>
      </c>
      <c r="E131" s="3"/>
      <c r="F131" s="3"/>
      <c r="G131" s="9"/>
      <c r="H131" s="10">
        <v>45665.910243055558</v>
      </c>
      <c r="I131" s="10">
        <v>45665.911030092589</v>
      </c>
      <c r="J131" s="10">
        <v>45665.919918981483</v>
      </c>
      <c r="K131" s="11">
        <v>8.8888888888888889E-3</v>
      </c>
      <c r="L131" s="13"/>
    </row>
    <row r="132" spans="1:12" x14ac:dyDescent="0.45">
      <c r="A132" s="3" t="s">
        <v>948</v>
      </c>
      <c r="B132" s="3" t="s">
        <v>1002</v>
      </c>
      <c r="C132" s="3" t="s">
        <v>425</v>
      </c>
      <c r="D132" s="9">
        <v>48</v>
      </c>
      <c r="E132" s="3"/>
      <c r="F132" s="3"/>
      <c r="G132" s="9"/>
      <c r="H132" s="10">
        <v>45666.217418981483</v>
      </c>
      <c r="I132" s="10">
        <v>45666.218182870369</v>
      </c>
      <c r="J132" s="10">
        <v>45666.224849537037</v>
      </c>
      <c r="K132" s="11">
        <v>6.6666666666666671E-3</v>
      </c>
      <c r="L132" s="13"/>
    </row>
    <row r="133" spans="1:12" x14ac:dyDescent="0.45">
      <c r="A133" s="3" t="s">
        <v>948</v>
      </c>
      <c r="B133" s="3" t="s">
        <v>1003</v>
      </c>
      <c r="C133" s="3" t="s">
        <v>433</v>
      </c>
      <c r="D133" s="9">
        <v>48</v>
      </c>
      <c r="E133" s="3"/>
      <c r="F133" s="3"/>
      <c r="G133" s="9"/>
      <c r="H133" s="10">
        <v>45666.224664351852</v>
      </c>
      <c r="I133" s="10">
        <v>45666.225532407407</v>
      </c>
      <c r="J133" s="10">
        <v>45666.232870370368</v>
      </c>
      <c r="K133" s="11">
        <v>7.3379629629629628E-3</v>
      </c>
      <c r="L133" s="13"/>
    </row>
    <row r="134" spans="1:12" x14ac:dyDescent="0.45">
      <c r="A134" s="3" t="s">
        <v>948</v>
      </c>
      <c r="B134" s="3" t="s">
        <v>1004</v>
      </c>
      <c r="C134" s="3" t="s">
        <v>435</v>
      </c>
      <c r="D134" s="9">
        <v>80</v>
      </c>
      <c r="E134" s="3"/>
      <c r="F134" s="3"/>
      <c r="G134" s="9"/>
      <c r="H134" s="10">
        <v>45666.225532407407</v>
      </c>
      <c r="I134" s="10">
        <v>45666.226377314822</v>
      </c>
      <c r="J134" s="10">
        <v>45666.238599537042</v>
      </c>
      <c r="K134" s="11">
        <v>1.2222222222222219E-2</v>
      </c>
      <c r="L134" s="13"/>
    </row>
    <row r="135" spans="1:12" x14ac:dyDescent="0.45">
      <c r="A135" s="3" t="s">
        <v>948</v>
      </c>
      <c r="B135" s="3" t="s">
        <v>1005</v>
      </c>
      <c r="C135" s="3" t="s">
        <v>437</v>
      </c>
      <c r="D135" s="9">
        <v>48</v>
      </c>
      <c r="E135" s="3"/>
      <c r="F135" s="3"/>
      <c r="G135" s="9"/>
      <c r="H135" s="10">
        <v>45666.235775462963</v>
      </c>
      <c r="I135" s="10">
        <v>45666.236539351848</v>
      </c>
      <c r="J135" s="10">
        <v>45666.243206018517</v>
      </c>
      <c r="K135" s="11">
        <v>6.6666666666666671E-3</v>
      </c>
      <c r="L135" s="13"/>
    </row>
    <row r="136" spans="1:12" x14ac:dyDescent="0.45">
      <c r="A136" s="3" t="s">
        <v>948</v>
      </c>
      <c r="B136" s="3" t="s">
        <v>1006</v>
      </c>
      <c r="C136" s="3" t="s">
        <v>442</v>
      </c>
      <c r="D136" s="9">
        <v>48</v>
      </c>
      <c r="E136" s="3"/>
      <c r="F136" s="3"/>
      <c r="G136" s="9"/>
      <c r="H136" s="10">
        <v>45666.238368055558</v>
      </c>
      <c r="I136" s="10">
        <v>45666.239224537043</v>
      </c>
      <c r="J136" s="10">
        <v>45666.246550925927</v>
      </c>
      <c r="K136" s="11">
        <v>7.3263888888888892E-3</v>
      </c>
      <c r="L136" s="13"/>
    </row>
    <row r="137" spans="1:12" x14ac:dyDescent="0.45">
      <c r="A137" s="3" t="s">
        <v>948</v>
      </c>
      <c r="B137" s="3" t="s">
        <v>1007</v>
      </c>
      <c r="C137" s="3" t="s">
        <v>444</v>
      </c>
      <c r="D137" s="9">
        <v>32</v>
      </c>
      <c r="E137" s="3"/>
      <c r="F137" s="3"/>
      <c r="G137" s="9"/>
      <c r="H137" s="10">
        <v>45666.239571759259</v>
      </c>
      <c r="I137" s="10">
        <v>45666.240405092591</v>
      </c>
      <c r="J137" s="10">
        <v>45666.245300925933</v>
      </c>
      <c r="K137" s="11">
        <v>4.8958333333333336E-3</v>
      </c>
      <c r="L137" s="13"/>
    </row>
    <row r="138" spans="1:12" x14ac:dyDescent="0.45">
      <c r="A138" s="3" t="s">
        <v>948</v>
      </c>
      <c r="B138" s="3" t="s">
        <v>1008</v>
      </c>
      <c r="C138" s="3" t="s">
        <v>446</v>
      </c>
      <c r="D138" s="9">
        <v>48</v>
      </c>
      <c r="E138" s="3"/>
      <c r="F138" s="3"/>
      <c r="G138" s="9"/>
      <c r="H138" s="10">
        <v>45666.241724537038</v>
      </c>
      <c r="I138" s="10">
        <v>45666.244502314818</v>
      </c>
      <c r="J138" s="10">
        <v>45666.251840277779</v>
      </c>
      <c r="K138" s="11">
        <v>7.3379629629629628E-3</v>
      </c>
      <c r="L138" s="13"/>
    </row>
    <row r="139" spans="1:12" x14ac:dyDescent="0.45">
      <c r="A139" s="3" t="s">
        <v>948</v>
      </c>
      <c r="B139" s="3" t="s">
        <v>1009</v>
      </c>
      <c r="C139" s="3" t="s">
        <v>454</v>
      </c>
      <c r="D139" s="9">
        <v>48</v>
      </c>
      <c r="E139" s="3"/>
      <c r="F139" s="3"/>
      <c r="G139" s="9"/>
      <c r="H139" s="10">
        <v>45666.243958333333</v>
      </c>
      <c r="I139" s="10">
        <v>45666.244756944441</v>
      </c>
      <c r="J139" s="10">
        <v>45666.251423611109</v>
      </c>
      <c r="K139" s="11">
        <v>6.6666666666666671E-3</v>
      </c>
      <c r="L139" s="13"/>
    </row>
    <row r="140" spans="1:12" x14ac:dyDescent="0.45">
      <c r="A140" s="3" t="s">
        <v>948</v>
      </c>
      <c r="B140" s="3" t="s">
        <v>1010</v>
      </c>
      <c r="C140" s="3" t="s">
        <v>448</v>
      </c>
      <c r="D140" s="9">
        <v>64</v>
      </c>
      <c r="E140" s="3"/>
      <c r="F140" s="3"/>
      <c r="G140" s="9"/>
      <c r="H140" s="10">
        <v>45666.244502314818</v>
      </c>
      <c r="I140" s="10">
        <v>45666.246967592589</v>
      </c>
      <c r="J140" s="10">
        <v>45666.256747685176</v>
      </c>
      <c r="K140" s="11">
        <v>9.780092592592592E-3</v>
      </c>
      <c r="L140" s="13"/>
    </row>
    <row r="141" spans="1:12" x14ac:dyDescent="0.45">
      <c r="A141" s="3" t="s">
        <v>948</v>
      </c>
      <c r="B141" s="3" t="s">
        <v>1011</v>
      </c>
      <c r="C141" s="3" t="s">
        <v>456</v>
      </c>
      <c r="D141" s="9">
        <v>48</v>
      </c>
      <c r="E141" s="3"/>
      <c r="F141" s="3"/>
      <c r="G141" s="9"/>
      <c r="H141" s="10">
        <v>45666.244756944441</v>
      </c>
      <c r="I141" s="10">
        <v>45666.248252314806</v>
      </c>
      <c r="J141" s="10">
        <v>45666.255578703713</v>
      </c>
      <c r="K141" s="11">
        <v>7.3263888888888892E-3</v>
      </c>
      <c r="L141" s="13"/>
    </row>
    <row r="142" spans="1:12" x14ac:dyDescent="0.45">
      <c r="A142" s="3" t="s">
        <v>948</v>
      </c>
      <c r="B142" s="3" t="s">
        <v>1012</v>
      </c>
      <c r="C142" s="3" t="s">
        <v>450</v>
      </c>
      <c r="D142" s="9">
        <v>32</v>
      </c>
      <c r="E142" s="3"/>
      <c r="F142" s="3"/>
      <c r="G142" s="9"/>
      <c r="H142" s="10">
        <v>45666.246967592589</v>
      </c>
      <c r="I142" s="10">
        <v>45666.253576388888</v>
      </c>
      <c r="J142" s="10">
        <v>45666.258460648147</v>
      </c>
      <c r="K142" s="11">
        <v>4.8842592592592592E-3</v>
      </c>
      <c r="L142" s="13"/>
    </row>
    <row r="143" spans="1:12" x14ac:dyDescent="0.45">
      <c r="A143" s="3" t="s">
        <v>948</v>
      </c>
      <c r="B143" s="3" t="s">
        <v>1013</v>
      </c>
      <c r="C143" s="3" t="s">
        <v>458</v>
      </c>
      <c r="D143" s="9">
        <v>48</v>
      </c>
      <c r="E143" s="3"/>
      <c r="F143" s="3"/>
      <c r="G143" s="9"/>
      <c r="H143" s="10">
        <v>45666.248252314806</v>
      </c>
      <c r="I143" s="10">
        <v>45666.257268518522</v>
      </c>
      <c r="J143" s="10">
        <v>45666.264606481483</v>
      </c>
      <c r="K143" s="11">
        <v>7.3379629629629628E-3</v>
      </c>
      <c r="L143" s="13"/>
    </row>
    <row r="144" spans="1:12" x14ac:dyDescent="0.45">
      <c r="A144" s="3" t="s">
        <v>948</v>
      </c>
      <c r="B144" s="3" t="s">
        <v>1014</v>
      </c>
      <c r="C144" s="3" t="s">
        <v>463</v>
      </c>
      <c r="D144" s="9">
        <v>32</v>
      </c>
      <c r="E144" s="3"/>
      <c r="F144" s="3"/>
      <c r="G144" s="9"/>
      <c r="H144" s="10">
        <v>45666.252962962957</v>
      </c>
      <c r="I144" s="10">
        <v>45666.258425925917</v>
      </c>
      <c r="J144" s="10">
        <v>45666.263310185182</v>
      </c>
      <c r="K144" s="11">
        <v>4.8842592592592592E-3</v>
      </c>
      <c r="L144" s="13"/>
    </row>
    <row r="145" spans="1:12" x14ac:dyDescent="0.45">
      <c r="A145" s="3" t="s">
        <v>948</v>
      </c>
      <c r="B145" s="3" t="s">
        <v>1015</v>
      </c>
      <c r="C145" s="3" t="s">
        <v>452</v>
      </c>
      <c r="D145" s="9">
        <v>64</v>
      </c>
      <c r="E145" s="3"/>
      <c r="F145" s="3"/>
      <c r="G145" s="9"/>
      <c r="H145" s="10">
        <v>45666.253576388888</v>
      </c>
      <c r="I145" s="10">
        <v>45666.260196759264</v>
      </c>
      <c r="J145" s="10">
        <v>45666.269976851851</v>
      </c>
      <c r="K145" s="11">
        <v>9.780092592592592E-3</v>
      </c>
      <c r="L145" s="13"/>
    </row>
    <row r="146" spans="1:12" x14ac:dyDescent="0.45">
      <c r="A146" s="3" t="s">
        <v>948</v>
      </c>
      <c r="B146" s="3" t="s">
        <v>1016</v>
      </c>
      <c r="C146" s="3" t="s">
        <v>470</v>
      </c>
      <c r="D146" s="9">
        <v>64</v>
      </c>
      <c r="E146" s="3"/>
      <c r="F146" s="3"/>
      <c r="G146" s="9"/>
      <c r="H146" s="10">
        <v>45666.257465277777</v>
      </c>
      <c r="I146" s="10">
        <v>45666.266296296293</v>
      </c>
      <c r="J146" s="10">
        <v>45666.276076388887</v>
      </c>
      <c r="K146" s="11">
        <v>9.780092592592592E-3</v>
      </c>
      <c r="L146" s="13"/>
    </row>
    <row r="147" spans="1:12" x14ac:dyDescent="0.45">
      <c r="A147" s="3" t="s">
        <v>948</v>
      </c>
      <c r="B147" s="3" t="s">
        <v>1017</v>
      </c>
      <c r="C147" s="3" t="s">
        <v>465</v>
      </c>
      <c r="D147" s="9">
        <v>32</v>
      </c>
      <c r="E147" s="3"/>
      <c r="F147" s="3"/>
      <c r="G147" s="9"/>
      <c r="H147" s="10">
        <v>45666.258425925917</v>
      </c>
      <c r="I147" s="10">
        <v>45666.270925925928</v>
      </c>
      <c r="J147" s="10">
        <v>45666.275370370371</v>
      </c>
      <c r="K147" s="11">
        <v>4.4444444444444436E-3</v>
      </c>
      <c r="L147" s="13"/>
    </row>
    <row r="148" spans="1:12" x14ac:dyDescent="0.45">
      <c r="A148" s="3" t="s">
        <v>948</v>
      </c>
      <c r="B148" s="3" t="s">
        <v>1018</v>
      </c>
      <c r="C148" s="3" t="s">
        <v>480</v>
      </c>
      <c r="D148" s="9">
        <v>48</v>
      </c>
      <c r="E148" s="3"/>
      <c r="F148" s="3"/>
      <c r="G148" s="9"/>
      <c r="H148" s="10">
        <v>45666.261979166673</v>
      </c>
      <c r="I148" s="10">
        <v>45666.271550925929</v>
      </c>
      <c r="J148" s="10">
        <v>45666.278877314813</v>
      </c>
      <c r="K148" s="11">
        <v>7.3263888888888892E-3</v>
      </c>
      <c r="L148" s="13"/>
    </row>
    <row r="149" spans="1:12" x14ac:dyDescent="0.45">
      <c r="A149" s="3" t="s">
        <v>948</v>
      </c>
      <c r="B149" s="3" t="s">
        <v>1019</v>
      </c>
      <c r="C149" s="3" t="s">
        <v>472</v>
      </c>
      <c r="D149" s="9">
        <v>64</v>
      </c>
      <c r="E149" s="3"/>
      <c r="F149" s="3"/>
      <c r="G149" s="9"/>
      <c r="H149" s="10">
        <v>45666.266296296293</v>
      </c>
      <c r="I149" s="10">
        <v>45666.271597222221</v>
      </c>
      <c r="J149" s="10">
        <v>45666.280486111107</v>
      </c>
      <c r="K149" s="11">
        <v>8.8888888888888889E-3</v>
      </c>
      <c r="L149" s="13"/>
    </row>
    <row r="150" spans="1:12" x14ac:dyDescent="0.45">
      <c r="A150" s="3" t="s">
        <v>948</v>
      </c>
      <c r="B150" s="3" t="s">
        <v>1020</v>
      </c>
      <c r="C150" s="3" t="s">
        <v>485</v>
      </c>
      <c r="D150" s="9">
        <v>32</v>
      </c>
      <c r="E150" s="3"/>
      <c r="F150" s="3"/>
      <c r="G150" s="9"/>
      <c r="H150" s="10">
        <v>45666.468888888892</v>
      </c>
      <c r="I150" s="10">
        <v>45666.469664351847</v>
      </c>
      <c r="J150" s="10">
        <v>45666.474108796298</v>
      </c>
      <c r="K150" s="11">
        <v>4.4444444444444436E-3</v>
      </c>
      <c r="L150" s="13"/>
    </row>
    <row r="151" spans="1:12" x14ac:dyDescent="0.45">
      <c r="A151" s="3" t="s">
        <v>948</v>
      </c>
      <c r="B151" s="3" t="s">
        <v>1021</v>
      </c>
      <c r="C151" s="3" t="s">
        <v>487</v>
      </c>
      <c r="D151" s="9">
        <v>32</v>
      </c>
      <c r="E151" s="3"/>
      <c r="F151" s="3"/>
      <c r="G151" s="9"/>
      <c r="H151" s="10">
        <v>45666.469664351847</v>
      </c>
      <c r="I151" s="10">
        <v>45666.470497685194</v>
      </c>
      <c r="J151" s="10">
        <v>45666.475393518522</v>
      </c>
      <c r="K151" s="11">
        <v>4.8958333333333336E-3</v>
      </c>
      <c r="L151" s="13"/>
    </row>
    <row r="152" spans="1:12" x14ac:dyDescent="0.45">
      <c r="A152" s="3" t="s">
        <v>948</v>
      </c>
      <c r="B152" s="3" t="s">
        <v>1022</v>
      </c>
      <c r="C152" s="3" t="s">
        <v>492</v>
      </c>
      <c r="D152" s="9">
        <v>48</v>
      </c>
      <c r="E152" s="3"/>
      <c r="F152" s="3"/>
      <c r="G152" s="9"/>
      <c r="H152" s="10">
        <v>45666.470613425918</v>
      </c>
      <c r="I152" s="10">
        <v>45666.47148148148</v>
      </c>
      <c r="J152" s="10">
        <v>45666.478819444441</v>
      </c>
      <c r="K152" s="11">
        <v>7.3379629629629628E-3</v>
      </c>
      <c r="L152" s="13"/>
    </row>
    <row r="153" spans="1:12" x14ac:dyDescent="0.45">
      <c r="A153" s="3" t="s">
        <v>948</v>
      </c>
      <c r="B153" s="3" t="s">
        <v>1023</v>
      </c>
      <c r="C153" s="3" t="s">
        <v>497</v>
      </c>
      <c r="D153" s="9">
        <v>64</v>
      </c>
      <c r="E153" s="3"/>
      <c r="F153" s="3"/>
      <c r="G153" s="9"/>
      <c r="H153" s="10">
        <v>45666.472488425927</v>
      </c>
      <c r="I153" s="10">
        <v>45666.475648148153</v>
      </c>
      <c r="J153" s="10">
        <v>45666.484537037039</v>
      </c>
      <c r="K153" s="11">
        <v>8.8888888888888889E-3</v>
      </c>
      <c r="L153" s="13"/>
    </row>
    <row r="154" spans="1:12" x14ac:dyDescent="0.45">
      <c r="A154" s="3" t="s">
        <v>948</v>
      </c>
      <c r="B154" s="3" t="s">
        <v>1024</v>
      </c>
      <c r="C154" s="3" t="s">
        <v>499</v>
      </c>
      <c r="D154" s="9">
        <v>48</v>
      </c>
      <c r="E154" s="3"/>
      <c r="F154" s="3"/>
      <c r="G154" s="9"/>
      <c r="H154" s="10">
        <v>45666.475648148153</v>
      </c>
      <c r="I154" s="10">
        <v>45666.4765162037</v>
      </c>
      <c r="J154" s="10">
        <v>45666.483854166669</v>
      </c>
      <c r="K154" s="11">
        <v>7.3379629629629628E-3</v>
      </c>
      <c r="L154" s="13"/>
    </row>
    <row r="155" spans="1:12" x14ac:dyDescent="0.45">
      <c r="A155" s="3" t="s">
        <v>948</v>
      </c>
      <c r="B155" s="3" t="s">
        <v>1025</v>
      </c>
      <c r="C155" s="3" t="s">
        <v>504</v>
      </c>
      <c r="D155" s="9">
        <v>48</v>
      </c>
      <c r="E155" s="3"/>
      <c r="F155" s="3"/>
      <c r="G155" s="9"/>
      <c r="H155" s="10">
        <v>45666.553113425929</v>
      </c>
      <c r="I155" s="10">
        <v>45666.55395833333</v>
      </c>
      <c r="J155" s="10">
        <v>45666.561296296299</v>
      </c>
      <c r="K155" s="11">
        <v>7.3379629629629628E-3</v>
      </c>
      <c r="L155" s="13"/>
    </row>
    <row r="156" spans="1:12" x14ac:dyDescent="0.45">
      <c r="A156" s="3" t="s">
        <v>948</v>
      </c>
      <c r="B156" s="3" t="s">
        <v>1026</v>
      </c>
      <c r="C156" s="3" t="s">
        <v>509</v>
      </c>
      <c r="D156" s="9">
        <v>64</v>
      </c>
      <c r="E156" s="3"/>
      <c r="F156" s="3"/>
      <c r="G156" s="9"/>
      <c r="H156" s="10">
        <v>45666.554895833331</v>
      </c>
      <c r="I156" s="10">
        <v>45666.55568287037</v>
      </c>
      <c r="J156" s="10">
        <v>45666.564571759263</v>
      </c>
      <c r="K156" s="11">
        <v>8.8888888888888889E-3</v>
      </c>
      <c r="L156" s="13"/>
    </row>
    <row r="157" spans="1:12" x14ac:dyDescent="0.45">
      <c r="A157" s="3" t="s">
        <v>948</v>
      </c>
      <c r="B157" s="3" t="s">
        <v>1027</v>
      </c>
      <c r="C157" s="3" t="s">
        <v>511</v>
      </c>
      <c r="D157" s="9">
        <v>64</v>
      </c>
      <c r="E157" s="3"/>
      <c r="F157" s="3"/>
      <c r="G157" s="9"/>
      <c r="H157" s="10">
        <v>45666.55568287037</v>
      </c>
      <c r="I157" s="10">
        <v>45666.556458333333</v>
      </c>
      <c r="J157" s="10">
        <v>45666.565347222233</v>
      </c>
      <c r="K157" s="11">
        <v>8.8888888888888889E-3</v>
      </c>
      <c r="L157" s="13"/>
    </row>
    <row r="158" spans="1:12" x14ac:dyDescent="0.45">
      <c r="A158" s="3" t="s">
        <v>948</v>
      </c>
      <c r="B158" s="3" t="s">
        <v>1028</v>
      </c>
      <c r="C158" s="3" t="s">
        <v>513</v>
      </c>
      <c r="D158" s="9">
        <v>32</v>
      </c>
      <c r="E158" s="3"/>
      <c r="F158" s="3"/>
      <c r="G158" s="9"/>
      <c r="H158" s="10">
        <v>45666.557511574072</v>
      </c>
      <c r="I158" s="10">
        <v>45666.558379629627</v>
      </c>
      <c r="J158" s="10">
        <v>45666.563275462962</v>
      </c>
      <c r="K158" s="11">
        <v>4.8958333333333336E-3</v>
      </c>
      <c r="L158" s="13"/>
    </row>
    <row r="159" spans="1:12" x14ac:dyDescent="0.45">
      <c r="A159" s="3" t="s">
        <v>948</v>
      </c>
      <c r="B159" s="3" t="s">
        <v>1029</v>
      </c>
      <c r="C159" s="3" t="s">
        <v>515</v>
      </c>
      <c r="D159" s="9">
        <v>48</v>
      </c>
      <c r="E159" s="3"/>
      <c r="F159" s="3"/>
      <c r="G159" s="9"/>
      <c r="H159" s="10">
        <v>45666.558472222219</v>
      </c>
      <c r="I159" s="10">
        <v>45666.559340277781</v>
      </c>
      <c r="J159" s="10">
        <v>45666.566666666673</v>
      </c>
      <c r="K159" s="11">
        <v>7.3263888888888892E-3</v>
      </c>
      <c r="L159" s="13"/>
    </row>
    <row r="160" spans="1:12" x14ac:dyDescent="0.45">
      <c r="A160" s="3" t="s">
        <v>948</v>
      </c>
      <c r="B160" s="3" t="s">
        <v>1030</v>
      </c>
      <c r="C160" s="3" t="s">
        <v>517</v>
      </c>
      <c r="D160" s="9">
        <v>48</v>
      </c>
      <c r="E160" s="3"/>
      <c r="F160" s="3"/>
      <c r="G160" s="9"/>
      <c r="H160" s="10">
        <v>45666.559340277781</v>
      </c>
      <c r="I160" s="10">
        <v>45666.562986111108</v>
      </c>
      <c r="J160" s="10">
        <v>45666.570324074077</v>
      </c>
      <c r="K160" s="11">
        <v>7.3379629629629628E-3</v>
      </c>
      <c r="L160" s="13"/>
    </row>
    <row r="161" spans="1:12" x14ac:dyDescent="0.45">
      <c r="A161" s="3" t="s">
        <v>948</v>
      </c>
      <c r="B161" s="3" t="s">
        <v>1031</v>
      </c>
      <c r="C161" s="3" t="s">
        <v>519</v>
      </c>
      <c r="D161" s="9">
        <v>48</v>
      </c>
      <c r="E161" s="3"/>
      <c r="F161" s="3"/>
      <c r="G161" s="9"/>
      <c r="H161" s="10">
        <v>45666.559837962966</v>
      </c>
      <c r="I161" s="10">
        <v>45666.564710648148</v>
      </c>
      <c r="J161" s="10">
        <v>45666.572048611109</v>
      </c>
      <c r="K161" s="11">
        <v>7.3379629629629628E-3</v>
      </c>
      <c r="L161" s="13"/>
    </row>
    <row r="162" spans="1:12" x14ac:dyDescent="0.45">
      <c r="A162" s="3" t="s">
        <v>948</v>
      </c>
      <c r="B162" s="3" t="s">
        <v>1032</v>
      </c>
      <c r="C162" s="3" t="s">
        <v>524</v>
      </c>
      <c r="D162" s="9">
        <v>48</v>
      </c>
      <c r="E162" s="3"/>
      <c r="F162" s="3"/>
      <c r="G162" s="9"/>
      <c r="H162" s="10">
        <v>45666.567777777767</v>
      </c>
      <c r="I162" s="10">
        <v>45666.568645833337</v>
      </c>
      <c r="J162" s="10">
        <v>45666.575972222221</v>
      </c>
      <c r="K162" s="11">
        <v>7.3263888888888892E-3</v>
      </c>
      <c r="L162" s="13"/>
    </row>
    <row r="163" spans="1:12" x14ac:dyDescent="0.45">
      <c r="A163" s="3" t="s">
        <v>948</v>
      </c>
      <c r="B163" s="3" t="s">
        <v>1033</v>
      </c>
      <c r="C163" s="3" t="s">
        <v>537</v>
      </c>
      <c r="D163" s="9">
        <v>64</v>
      </c>
      <c r="E163" s="3"/>
      <c r="F163" s="3"/>
      <c r="G163" s="9"/>
      <c r="H163" s="10">
        <v>45666.60392361111</v>
      </c>
      <c r="I163" s="10">
        <v>45666.604768518519</v>
      </c>
      <c r="J163" s="10">
        <v>45666.614548611113</v>
      </c>
      <c r="K163" s="11">
        <v>9.780092592592592E-3</v>
      </c>
      <c r="L163" s="13"/>
    </row>
    <row r="164" spans="1:12" x14ac:dyDescent="0.45">
      <c r="A164" s="3" t="s">
        <v>948</v>
      </c>
      <c r="B164" s="3" t="s">
        <v>1034</v>
      </c>
      <c r="C164" s="3" t="s">
        <v>532</v>
      </c>
      <c r="D164" s="9">
        <v>32</v>
      </c>
      <c r="E164" s="3"/>
      <c r="F164" s="3"/>
      <c r="G164" s="9"/>
      <c r="H164" s="10">
        <v>45666.604074074072</v>
      </c>
      <c r="I164" s="10">
        <v>45666.612905092603</v>
      </c>
      <c r="J164" s="10">
        <v>45666.617349537039</v>
      </c>
      <c r="K164" s="11">
        <v>4.4444444444444436E-3</v>
      </c>
      <c r="L164" s="13"/>
    </row>
    <row r="165" spans="1:12" x14ac:dyDescent="0.45">
      <c r="A165" s="3" t="s">
        <v>948</v>
      </c>
      <c r="B165" s="3" t="s">
        <v>1035</v>
      </c>
      <c r="C165" s="3" t="s">
        <v>539</v>
      </c>
      <c r="D165" s="9">
        <v>48</v>
      </c>
      <c r="E165" s="3"/>
      <c r="F165" s="3"/>
      <c r="G165" s="9"/>
      <c r="H165" s="10">
        <v>45666.60428240741</v>
      </c>
      <c r="I165" s="10">
        <v>45666.613240740742</v>
      </c>
      <c r="J165" s="10">
        <v>45666.61990740741</v>
      </c>
      <c r="K165" s="11">
        <v>6.6666666666666671E-3</v>
      </c>
      <c r="L165" s="13"/>
    </row>
    <row r="166" spans="1:12" x14ac:dyDescent="0.45">
      <c r="A166" s="3" t="s">
        <v>948</v>
      </c>
      <c r="B166" s="3" t="s">
        <v>1036</v>
      </c>
      <c r="C166" s="3" t="s">
        <v>544</v>
      </c>
      <c r="D166" s="9">
        <v>64</v>
      </c>
      <c r="E166" s="3"/>
      <c r="F166" s="3"/>
      <c r="G166" s="9"/>
      <c r="H166" s="10">
        <v>45666.801319444443</v>
      </c>
      <c r="I166" s="10">
        <v>45666.802152777767</v>
      </c>
      <c r="J166" s="10">
        <v>45666.811932870369</v>
      </c>
      <c r="K166" s="11">
        <v>9.780092592592592E-3</v>
      </c>
      <c r="L166" s="13"/>
    </row>
    <row r="167" spans="1:12" x14ac:dyDescent="0.45">
      <c r="A167" s="3" t="s">
        <v>948</v>
      </c>
      <c r="B167" s="3" t="s">
        <v>1037</v>
      </c>
      <c r="C167" s="3" t="s">
        <v>549</v>
      </c>
      <c r="D167" s="9">
        <v>48</v>
      </c>
      <c r="E167" s="3"/>
      <c r="F167" s="3"/>
      <c r="G167" s="9"/>
      <c r="H167" s="10">
        <v>45666.810023148151</v>
      </c>
      <c r="I167" s="10">
        <v>45666.810868055552</v>
      </c>
      <c r="J167" s="10">
        <v>45666.818206018521</v>
      </c>
      <c r="K167" s="11">
        <v>7.3379629629629628E-3</v>
      </c>
      <c r="L167" s="13"/>
    </row>
    <row r="168" spans="1:12" x14ac:dyDescent="0.45">
      <c r="A168" s="3" t="s">
        <v>948</v>
      </c>
      <c r="B168" s="3" t="s">
        <v>1038</v>
      </c>
      <c r="C168" s="3" t="s">
        <v>554</v>
      </c>
      <c r="D168" s="9">
        <v>32</v>
      </c>
      <c r="E168" s="3"/>
      <c r="F168" s="3"/>
      <c r="G168" s="9"/>
      <c r="H168" s="10">
        <v>45666.811550925922</v>
      </c>
      <c r="I168" s="10">
        <v>45666.812337962961</v>
      </c>
      <c r="J168" s="10">
        <v>45666.816782407397</v>
      </c>
      <c r="K168" s="11">
        <v>4.4444444444444436E-3</v>
      </c>
      <c r="L168" s="13"/>
    </row>
    <row r="169" spans="1:12" x14ac:dyDescent="0.45">
      <c r="A169" s="3" t="s">
        <v>948</v>
      </c>
      <c r="B169" s="3" t="s">
        <v>1039</v>
      </c>
      <c r="C169" s="3" t="s">
        <v>556</v>
      </c>
      <c r="D169" s="9">
        <v>80</v>
      </c>
      <c r="E169" s="3"/>
      <c r="F169" s="3"/>
      <c r="G169" s="9"/>
      <c r="H169" s="10">
        <v>45666.811678240738</v>
      </c>
      <c r="I169" s="10">
        <v>45666.812442129631</v>
      </c>
      <c r="J169" s="10">
        <v>45666.823553240742</v>
      </c>
      <c r="K169" s="11">
        <v>1.111111111111111E-2</v>
      </c>
      <c r="L169" s="13"/>
    </row>
    <row r="170" spans="1:12" x14ac:dyDescent="0.45">
      <c r="A170" s="3" t="s">
        <v>948</v>
      </c>
      <c r="B170" s="3" t="s">
        <v>1040</v>
      </c>
      <c r="C170" s="3" t="s">
        <v>558</v>
      </c>
      <c r="D170" s="9">
        <v>64</v>
      </c>
      <c r="E170" s="3"/>
      <c r="F170" s="3"/>
      <c r="G170" s="9"/>
      <c r="H170" s="10">
        <v>45666.946840277778</v>
      </c>
      <c r="I170" s="10">
        <v>45666.94767361111</v>
      </c>
      <c r="J170" s="10">
        <v>45666.957453703697</v>
      </c>
      <c r="K170" s="11">
        <v>9.780092592592592E-3</v>
      </c>
      <c r="L170" s="13"/>
    </row>
    <row r="171" spans="1:12" x14ac:dyDescent="0.45">
      <c r="A171" s="3" t="s">
        <v>948</v>
      </c>
      <c r="B171" s="3" t="s">
        <v>1041</v>
      </c>
      <c r="C171" s="3" t="s">
        <v>560</v>
      </c>
      <c r="D171" s="9">
        <v>32</v>
      </c>
      <c r="E171" s="3"/>
      <c r="F171" s="3"/>
      <c r="G171" s="9"/>
      <c r="H171" s="10">
        <v>45666.94767361111</v>
      </c>
      <c r="I171" s="10">
        <v>45666.948541666658</v>
      </c>
      <c r="J171" s="10">
        <v>45666.953425925924</v>
      </c>
      <c r="K171" s="11">
        <v>4.8842592592592592E-3</v>
      </c>
      <c r="L171" s="13"/>
    </row>
    <row r="172" spans="1:12" x14ac:dyDescent="0.45">
      <c r="A172" s="3" t="s">
        <v>948</v>
      </c>
      <c r="B172" s="3" t="s">
        <v>1042</v>
      </c>
      <c r="C172" s="3" t="s">
        <v>562</v>
      </c>
      <c r="D172" s="9">
        <v>32</v>
      </c>
      <c r="E172" s="3"/>
      <c r="F172" s="3"/>
      <c r="G172" s="9"/>
      <c r="H172" s="10">
        <v>45666.948541666658</v>
      </c>
      <c r="I172" s="10">
        <v>45666.949386574073</v>
      </c>
      <c r="J172" s="10">
        <v>45666.954282407409</v>
      </c>
      <c r="K172" s="11">
        <v>4.8958333333333336E-3</v>
      </c>
      <c r="L172" s="13"/>
    </row>
    <row r="173" spans="1:12" x14ac:dyDescent="0.45">
      <c r="A173" s="3" t="s">
        <v>948</v>
      </c>
      <c r="B173" s="3" t="s">
        <v>1043</v>
      </c>
      <c r="C173" s="3" t="s">
        <v>564</v>
      </c>
      <c r="D173" s="9">
        <v>32</v>
      </c>
      <c r="E173" s="3"/>
      <c r="F173" s="3"/>
      <c r="G173" s="9"/>
      <c r="H173" s="10">
        <v>45666.949386574073</v>
      </c>
      <c r="I173" s="10">
        <v>45666.950254629628</v>
      </c>
      <c r="J173" s="10">
        <v>45666.955150462964</v>
      </c>
      <c r="K173" s="11">
        <v>4.8958333333333336E-3</v>
      </c>
      <c r="L173" s="13"/>
    </row>
    <row r="174" spans="1:12" x14ac:dyDescent="0.45">
      <c r="A174" s="3" t="s">
        <v>948</v>
      </c>
      <c r="B174" s="3" t="s">
        <v>1044</v>
      </c>
      <c r="C174" s="3" t="s">
        <v>572</v>
      </c>
      <c r="D174" s="9">
        <v>32</v>
      </c>
      <c r="E174" s="3"/>
      <c r="F174" s="3"/>
      <c r="G174" s="9"/>
      <c r="H174" s="10">
        <v>45667.306006944447</v>
      </c>
      <c r="I174" s="10">
        <v>45667.306851851848</v>
      </c>
      <c r="J174" s="10">
        <v>45667.311736111107</v>
      </c>
      <c r="K174" s="11">
        <v>4.8842592592592592E-3</v>
      </c>
      <c r="L174" s="13"/>
    </row>
    <row r="175" spans="1:12" x14ac:dyDescent="0.45">
      <c r="A175" s="3" t="s">
        <v>948</v>
      </c>
      <c r="B175" s="3" t="s">
        <v>1045</v>
      </c>
      <c r="C175" s="3" t="s">
        <v>574</v>
      </c>
      <c r="D175" s="9">
        <v>48</v>
      </c>
      <c r="E175" s="3"/>
      <c r="F175" s="3"/>
      <c r="G175" s="9"/>
      <c r="H175" s="10">
        <v>45667.306875000002</v>
      </c>
      <c r="I175" s="10">
        <v>45667.307743055557</v>
      </c>
      <c r="J175" s="10">
        <v>45667.315069444441</v>
      </c>
      <c r="K175" s="11">
        <v>7.3263888888888892E-3</v>
      </c>
      <c r="L175" s="13"/>
    </row>
    <row r="176" spans="1:12" x14ac:dyDescent="0.45">
      <c r="A176" s="3" t="s">
        <v>948</v>
      </c>
      <c r="B176" s="3" t="s">
        <v>1046</v>
      </c>
      <c r="C176" s="3" t="s">
        <v>582</v>
      </c>
      <c r="D176" s="9">
        <v>48</v>
      </c>
      <c r="E176" s="3"/>
      <c r="F176" s="3"/>
      <c r="G176" s="9"/>
      <c r="H176" s="10">
        <v>45667.329421296286</v>
      </c>
      <c r="I176" s="10">
        <v>45667.330266203702</v>
      </c>
      <c r="J176" s="10">
        <v>45667.337592592587</v>
      </c>
      <c r="K176" s="11">
        <v>7.3263888888888892E-3</v>
      </c>
      <c r="L176" s="13"/>
    </row>
    <row r="177" spans="1:12" x14ac:dyDescent="0.45">
      <c r="A177" s="3" t="s">
        <v>948</v>
      </c>
      <c r="B177" s="3" t="s">
        <v>1047</v>
      </c>
      <c r="C177" s="3" t="s">
        <v>584</v>
      </c>
      <c r="D177" s="9">
        <v>32</v>
      </c>
      <c r="E177" s="3"/>
      <c r="F177" s="3"/>
      <c r="G177" s="9"/>
      <c r="H177" s="10">
        <v>45667.357557870368</v>
      </c>
      <c r="I177" s="10">
        <v>45667.358391203707</v>
      </c>
      <c r="J177" s="10">
        <v>45667.363287037027</v>
      </c>
      <c r="K177" s="11">
        <v>4.8958333333333336E-3</v>
      </c>
      <c r="L177" s="13"/>
    </row>
    <row r="178" spans="1:12" x14ac:dyDescent="0.45">
      <c r="A178" s="3" t="s">
        <v>948</v>
      </c>
      <c r="B178" s="3" t="s">
        <v>1048</v>
      </c>
      <c r="C178" s="3" t="s">
        <v>586</v>
      </c>
      <c r="D178" s="9">
        <v>64</v>
      </c>
      <c r="E178" s="3"/>
      <c r="F178" s="3"/>
      <c r="G178" s="9"/>
      <c r="H178" s="10">
        <v>45667.358854166669</v>
      </c>
      <c r="I178" s="10">
        <v>45667.359722222223</v>
      </c>
      <c r="J178" s="10">
        <v>45667.369502314818</v>
      </c>
      <c r="K178" s="11">
        <v>9.780092592592592E-3</v>
      </c>
      <c r="L178" s="13"/>
    </row>
    <row r="179" spans="1:12" x14ac:dyDescent="0.45">
      <c r="A179" s="3" t="s">
        <v>948</v>
      </c>
      <c r="B179" s="3" t="s">
        <v>1049</v>
      </c>
      <c r="C179" s="3" t="s">
        <v>588</v>
      </c>
      <c r="D179" s="9">
        <v>64</v>
      </c>
      <c r="E179" s="3"/>
      <c r="F179" s="3"/>
      <c r="G179" s="9"/>
      <c r="H179" s="10">
        <v>45667.38857638889</v>
      </c>
      <c r="I179" s="10">
        <v>45667.389444444438</v>
      </c>
      <c r="J179" s="10">
        <v>45667.399212962962</v>
      </c>
      <c r="K179" s="11">
        <v>9.7685185185185184E-3</v>
      </c>
      <c r="L179" s="13"/>
    </row>
    <row r="180" spans="1:12" x14ac:dyDescent="0.45">
      <c r="A180" s="3" t="s">
        <v>948</v>
      </c>
      <c r="B180" s="3" t="s">
        <v>1050</v>
      </c>
      <c r="C180" s="3" t="s">
        <v>599</v>
      </c>
      <c r="D180" s="9">
        <v>48</v>
      </c>
      <c r="E180" s="3"/>
      <c r="F180" s="3"/>
      <c r="G180" s="9"/>
      <c r="H180" s="10">
        <v>45667.554907407408</v>
      </c>
      <c r="I180" s="10">
        <v>45667.55574074074</v>
      </c>
      <c r="J180" s="10">
        <v>45667.563078703701</v>
      </c>
      <c r="K180" s="11">
        <v>7.3379629629629628E-3</v>
      </c>
      <c r="L180" s="13"/>
    </row>
    <row r="181" spans="1:12" x14ac:dyDescent="0.45">
      <c r="A181" s="3" t="s">
        <v>948</v>
      </c>
      <c r="B181" s="3" t="s">
        <v>1051</v>
      </c>
      <c r="C181" s="3" t="s">
        <v>603</v>
      </c>
      <c r="D181" s="9">
        <v>80</v>
      </c>
      <c r="E181" s="3"/>
      <c r="F181" s="3"/>
      <c r="G181" s="9"/>
      <c r="H181" s="10">
        <v>45667.555555555547</v>
      </c>
      <c r="I181" s="10">
        <v>45667.556423611109</v>
      </c>
      <c r="J181" s="10">
        <v>45667.568645833337</v>
      </c>
      <c r="K181" s="11">
        <v>1.2222222222222219E-2</v>
      </c>
      <c r="L181" s="13"/>
    </row>
    <row r="182" spans="1:12" x14ac:dyDescent="0.45">
      <c r="A182" s="3" t="s">
        <v>948</v>
      </c>
      <c r="B182" s="3" t="s">
        <v>1052</v>
      </c>
      <c r="C182" s="3" t="s">
        <v>601</v>
      </c>
      <c r="D182" s="9">
        <v>32</v>
      </c>
      <c r="E182" s="3"/>
      <c r="F182" s="3"/>
      <c r="G182" s="9"/>
      <c r="H182" s="10">
        <v>45667.55574074074</v>
      </c>
      <c r="I182" s="10">
        <v>45667.556608796287</v>
      </c>
      <c r="J182" s="10">
        <v>45667.56150462963</v>
      </c>
      <c r="K182" s="11">
        <v>4.8958333333333336E-3</v>
      </c>
      <c r="L182" s="13"/>
    </row>
    <row r="183" spans="1:12" x14ac:dyDescent="0.45">
      <c r="A183" s="3" t="s">
        <v>948</v>
      </c>
      <c r="B183" s="3" t="s">
        <v>1053</v>
      </c>
      <c r="C183" s="3" t="s">
        <v>608</v>
      </c>
      <c r="D183" s="9">
        <v>32</v>
      </c>
      <c r="E183" s="3"/>
      <c r="F183" s="3"/>
      <c r="G183" s="9"/>
      <c r="H183" s="10">
        <v>45667.55877314815</v>
      </c>
      <c r="I183" s="10">
        <v>45667.559560185182</v>
      </c>
      <c r="J183" s="10">
        <v>45667.564004629632</v>
      </c>
      <c r="K183" s="11">
        <v>4.4444444444444436E-3</v>
      </c>
      <c r="L183" s="13"/>
    </row>
    <row r="184" spans="1:12" x14ac:dyDescent="0.45">
      <c r="A184" s="3" t="s">
        <v>948</v>
      </c>
      <c r="B184" s="3" t="s">
        <v>1054</v>
      </c>
      <c r="C184" s="3" t="s">
        <v>610</v>
      </c>
      <c r="D184" s="9">
        <v>32</v>
      </c>
      <c r="E184" s="3"/>
      <c r="F184" s="3"/>
      <c r="G184" s="9"/>
      <c r="H184" s="10">
        <v>45667.559988425928</v>
      </c>
      <c r="I184" s="10">
        <v>45667.561493055553</v>
      </c>
      <c r="J184" s="10">
        <v>45667.566377314812</v>
      </c>
      <c r="K184" s="11">
        <v>4.8842592592592592E-3</v>
      </c>
      <c r="L184" s="13"/>
    </row>
    <row r="185" spans="1:12" x14ac:dyDescent="0.45">
      <c r="A185" s="3" t="s">
        <v>948</v>
      </c>
      <c r="B185" s="3" t="s">
        <v>1055</v>
      </c>
      <c r="C185" s="3" t="s">
        <v>612</v>
      </c>
      <c r="D185" s="9">
        <v>48</v>
      </c>
      <c r="E185" s="3"/>
      <c r="F185" s="3"/>
      <c r="G185" s="9"/>
      <c r="H185" s="10">
        <v>45667.561377314807</v>
      </c>
      <c r="I185" s="10">
        <v>45667.562152777777</v>
      </c>
      <c r="J185" s="10">
        <v>45667.568819444437</v>
      </c>
      <c r="K185" s="11">
        <v>6.6666666666666671E-3</v>
      </c>
      <c r="L185" s="13"/>
    </row>
    <row r="186" spans="1:12" x14ac:dyDescent="0.45">
      <c r="A186" s="3" t="s">
        <v>948</v>
      </c>
      <c r="B186" s="3" t="s">
        <v>1056</v>
      </c>
      <c r="C186" s="3" t="s">
        <v>614</v>
      </c>
      <c r="D186" s="9">
        <v>64</v>
      </c>
      <c r="E186" s="3"/>
      <c r="F186" s="3"/>
      <c r="G186" s="9"/>
      <c r="H186" s="10">
        <v>45667.5627662037</v>
      </c>
      <c r="I186" s="10">
        <v>45667.563634259262</v>
      </c>
      <c r="J186" s="10">
        <v>45667.573414351849</v>
      </c>
      <c r="K186" s="11">
        <v>9.780092592592592E-3</v>
      </c>
      <c r="L186" s="13"/>
    </row>
    <row r="187" spans="1:12" x14ac:dyDescent="0.45">
      <c r="A187" s="3" t="s">
        <v>948</v>
      </c>
      <c r="B187" s="3" t="s">
        <v>1057</v>
      </c>
      <c r="C187" s="3" t="s">
        <v>616</v>
      </c>
      <c r="D187" s="9">
        <v>48</v>
      </c>
      <c r="E187" s="3"/>
      <c r="F187" s="3"/>
      <c r="G187" s="9"/>
      <c r="H187" s="10">
        <v>45667.563634259262</v>
      </c>
      <c r="I187" s="10">
        <v>45667.564745370371</v>
      </c>
      <c r="J187" s="10">
        <v>45667.572083333333</v>
      </c>
      <c r="K187" s="11">
        <v>7.3379629629629628E-3</v>
      </c>
      <c r="L187" s="13"/>
    </row>
    <row r="188" spans="1:12" x14ac:dyDescent="0.45">
      <c r="A188" s="3" t="s">
        <v>948</v>
      </c>
      <c r="B188" s="3" t="s">
        <v>1058</v>
      </c>
      <c r="C188" s="3" t="s">
        <v>621</v>
      </c>
      <c r="D188" s="9">
        <v>48</v>
      </c>
      <c r="E188" s="3"/>
      <c r="F188" s="3"/>
      <c r="G188" s="9"/>
      <c r="H188" s="10">
        <v>45667.638252314813</v>
      </c>
      <c r="I188" s="10">
        <v>45667.639027777783</v>
      </c>
      <c r="J188" s="10">
        <v>45667.645694444444</v>
      </c>
      <c r="K188" s="11">
        <v>6.6666666666666671E-3</v>
      </c>
      <c r="L188" s="13"/>
    </row>
    <row r="189" spans="1:12" x14ac:dyDescent="0.45">
      <c r="A189" s="3" t="s">
        <v>948</v>
      </c>
      <c r="B189" s="3" t="s">
        <v>1059</v>
      </c>
      <c r="C189" s="3" t="s">
        <v>626</v>
      </c>
      <c r="D189" s="9">
        <v>80</v>
      </c>
      <c r="E189" s="3"/>
      <c r="F189" s="3"/>
      <c r="G189" s="9"/>
      <c r="H189" s="10">
        <v>45667.640729166669</v>
      </c>
      <c r="I189" s="10">
        <v>45667.641516203701</v>
      </c>
      <c r="J189" s="10">
        <v>45667.652627314812</v>
      </c>
      <c r="K189" s="11">
        <v>1.111111111111111E-2</v>
      </c>
      <c r="L189" s="13"/>
    </row>
    <row r="190" spans="1:12" x14ac:dyDescent="0.45">
      <c r="A190" s="3" t="s">
        <v>948</v>
      </c>
      <c r="B190" s="3" t="s">
        <v>1060</v>
      </c>
      <c r="C190" s="3" t="s">
        <v>631</v>
      </c>
      <c r="D190" s="9">
        <v>64</v>
      </c>
      <c r="E190" s="3"/>
      <c r="F190" s="3"/>
      <c r="G190" s="9"/>
      <c r="H190" s="10">
        <v>45667.663518518522</v>
      </c>
      <c r="I190" s="10">
        <v>45667.664351851847</v>
      </c>
      <c r="J190" s="10">
        <v>45667.674131944441</v>
      </c>
      <c r="K190" s="11">
        <v>9.780092592592592E-3</v>
      </c>
      <c r="L190" s="13"/>
    </row>
    <row r="191" spans="1:12" x14ac:dyDescent="0.45">
      <c r="A191" s="3" t="s">
        <v>948</v>
      </c>
      <c r="B191" s="3" t="s">
        <v>1061</v>
      </c>
      <c r="C191" s="3" t="s">
        <v>633</v>
      </c>
      <c r="D191" s="9">
        <v>64</v>
      </c>
      <c r="E191" s="3"/>
      <c r="F191" s="3"/>
      <c r="G191" s="9"/>
      <c r="H191" s="10">
        <v>45667.664351851847</v>
      </c>
      <c r="I191" s="10">
        <v>45667.668055555558</v>
      </c>
      <c r="J191" s="10">
        <v>45667.676944444444</v>
      </c>
      <c r="K191" s="11">
        <v>8.8888888888888889E-3</v>
      </c>
      <c r="L191" s="13"/>
    </row>
    <row r="192" spans="1:12" x14ac:dyDescent="0.45">
      <c r="A192" s="3" t="s">
        <v>948</v>
      </c>
      <c r="B192" s="3" t="s">
        <v>1062</v>
      </c>
      <c r="C192" s="3" t="s">
        <v>635</v>
      </c>
      <c r="D192" s="9">
        <v>64</v>
      </c>
      <c r="E192" s="3"/>
      <c r="F192" s="3"/>
      <c r="G192" s="9"/>
      <c r="H192" s="10">
        <v>45667.689074074071</v>
      </c>
      <c r="I192" s="10">
        <v>45667.689872685187</v>
      </c>
      <c r="J192" s="10">
        <v>45667.698761574073</v>
      </c>
      <c r="K192" s="11">
        <v>8.8888888888888889E-3</v>
      </c>
      <c r="L192" s="13"/>
    </row>
    <row r="193" spans="1:12" x14ac:dyDescent="0.45">
      <c r="A193" s="3" t="s">
        <v>948</v>
      </c>
      <c r="B193" s="3" t="s">
        <v>1063</v>
      </c>
      <c r="C193" s="3" t="s">
        <v>637</v>
      </c>
      <c r="D193" s="9">
        <v>80</v>
      </c>
      <c r="E193" s="3"/>
      <c r="F193" s="3"/>
      <c r="G193" s="9"/>
      <c r="H193" s="10">
        <v>45667.690393518518</v>
      </c>
      <c r="I193" s="10">
        <v>45667.691261574073</v>
      </c>
      <c r="J193" s="10">
        <v>45667.703483796293</v>
      </c>
      <c r="K193" s="11">
        <v>1.2222222222222219E-2</v>
      </c>
      <c r="L193" s="13"/>
    </row>
    <row r="194" spans="1:12" x14ac:dyDescent="0.45">
      <c r="A194" s="3" t="s">
        <v>948</v>
      </c>
      <c r="B194" s="3" t="s">
        <v>1064</v>
      </c>
      <c r="C194" s="3" t="s">
        <v>639</v>
      </c>
      <c r="D194" s="9">
        <v>80</v>
      </c>
      <c r="E194" s="3"/>
      <c r="F194" s="3"/>
      <c r="G194" s="9"/>
      <c r="H194" s="10">
        <v>45667.691620370373</v>
      </c>
      <c r="I194" s="10">
        <v>45667.692476851851</v>
      </c>
      <c r="J194" s="10">
        <v>45667.704699074071</v>
      </c>
      <c r="K194" s="11">
        <v>1.2222222222222219E-2</v>
      </c>
      <c r="L194" s="13"/>
    </row>
    <row r="195" spans="1:12" x14ac:dyDescent="0.45">
      <c r="A195" s="3" t="s">
        <v>948</v>
      </c>
      <c r="B195" s="3" t="s">
        <v>1065</v>
      </c>
      <c r="C195" s="3" t="s">
        <v>644</v>
      </c>
      <c r="D195" s="9">
        <v>32</v>
      </c>
      <c r="E195" s="3"/>
      <c r="F195" s="3"/>
      <c r="G195" s="9"/>
      <c r="H195" s="10">
        <v>45667.714791666673</v>
      </c>
      <c r="I195" s="10">
        <v>45667.715624999997</v>
      </c>
      <c r="J195" s="10">
        <v>45667.720520833333</v>
      </c>
      <c r="K195" s="11">
        <v>4.8958333333333336E-3</v>
      </c>
      <c r="L195" s="13"/>
    </row>
    <row r="196" spans="1:12" x14ac:dyDescent="0.45">
      <c r="A196" s="3" t="s">
        <v>948</v>
      </c>
      <c r="B196" s="3" t="s">
        <v>1066</v>
      </c>
      <c r="C196" s="3" t="s">
        <v>646</v>
      </c>
      <c r="D196" s="9">
        <v>48</v>
      </c>
      <c r="E196" s="3"/>
      <c r="F196" s="3"/>
      <c r="G196" s="9"/>
      <c r="H196" s="10">
        <v>45667.715729166674</v>
      </c>
      <c r="I196" s="10">
        <v>45667.721458333333</v>
      </c>
      <c r="J196" s="10">
        <v>45667.728796296287</v>
      </c>
      <c r="K196" s="11">
        <v>7.3379629629629628E-3</v>
      </c>
      <c r="L196" s="13"/>
    </row>
    <row r="197" spans="1:12" x14ac:dyDescent="0.45">
      <c r="A197" s="3" t="s">
        <v>948</v>
      </c>
      <c r="B197" s="3" t="s">
        <v>1067</v>
      </c>
      <c r="C197" s="3" t="s">
        <v>651</v>
      </c>
      <c r="D197" s="9">
        <v>48</v>
      </c>
      <c r="E197" s="3"/>
      <c r="F197" s="3"/>
      <c r="G197" s="9"/>
      <c r="H197" s="10">
        <v>45667.843368055554</v>
      </c>
      <c r="I197" s="10">
        <v>45667.844236111108</v>
      </c>
      <c r="J197" s="10">
        <v>45667.8515625</v>
      </c>
      <c r="K197" s="11">
        <v>7.3263888888888892E-3</v>
      </c>
      <c r="L197" s="13"/>
    </row>
    <row r="198" spans="1:12" x14ac:dyDescent="0.45">
      <c r="A198" s="3" t="s">
        <v>948</v>
      </c>
      <c r="B198" s="3" t="s">
        <v>1068</v>
      </c>
      <c r="C198" s="3" t="s">
        <v>662</v>
      </c>
      <c r="D198" s="9">
        <v>32</v>
      </c>
      <c r="E198" s="3"/>
      <c r="F198" s="3"/>
      <c r="G198" s="9"/>
      <c r="H198" s="10">
        <v>45667.949247685188</v>
      </c>
      <c r="I198" s="10">
        <v>45667.950092592589</v>
      </c>
      <c r="J198" s="10">
        <v>45667.954988425918</v>
      </c>
      <c r="K198" s="11">
        <v>4.8958333333333336E-3</v>
      </c>
      <c r="L198" s="13"/>
    </row>
    <row r="199" spans="1:12" x14ac:dyDescent="0.45">
      <c r="A199" s="3" t="s">
        <v>948</v>
      </c>
      <c r="B199" s="3" t="s">
        <v>1069</v>
      </c>
      <c r="C199" s="3" t="s">
        <v>664</v>
      </c>
      <c r="D199" s="9">
        <v>32</v>
      </c>
      <c r="E199" s="3"/>
      <c r="F199" s="3"/>
      <c r="G199" s="9"/>
      <c r="H199" s="10">
        <v>45668.258634259262</v>
      </c>
      <c r="I199" s="10">
        <v>45668.25949074074</v>
      </c>
      <c r="J199" s="10">
        <v>45668.264374999999</v>
      </c>
      <c r="K199" s="11">
        <v>4.8842592592592592E-3</v>
      </c>
      <c r="L199" s="13"/>
    </row>
    <row r="200" spans="1:12" x14ac:dyDescent="0.45">
      <c r="A200" s="3" t="s">
        <v>948</v>
      </c>
      <c r="B200" s="3" t="s">
        <v>1070</v>
      </c>
      <c r="C200" s="3" t="s">
        <v>666</v>
      </c>
      <c r="D200" s="9">
        <v>80</v>
      </c>
      <c r="E200" s="3"/>
      <c r="F200" s="3"/>
      <c r="G200" s="9"/>
      <c r="H200" s="10">
        <v>45668.25949074074</v>
      </c>
      <c r="I200" s="10">
        <v>45668.260358796288</v>
      </c>
      <c r="J200" s="10">
        <v>45668.272581018522</v>
      </c>
      <c r="K200" s="11">
        <v>1.2222222222222219E-2</v>
      </c>
      <c r="L200" s="13"/>
    </row>
    <row r="201" spans="1:12" x14ac:dyDescent="0.45">
      <c r="A201" s="3" t="s">
        <v>948</v>
      </c>
      <c r="B201" s="3" t="s">
        <v>1071</v>
      </c>
      <c r="C201" s="3" t="s">
        <v>668</v>
      </c>
      <c r="D201" s="9">
        <v>48</v>
      </c>
      <c r="E201" s="3"/>
      <c r="F201" s="3"/>
      <c r="G201" s="9"/>
      <c r="H201" s="10">
        <v>45668.268750000003</v>
      </c>
      <c r="I201" s="10">
        <v>45668.269594907397</v>
      </c>
      <c r="J201" s="10">
        <v>45668.276932870373</v>
      </c>
      <c r="K201" s="11">
        <v>7.3379629629629628E-3</v>
      </c>
      <c r="L201" s="13"/>
    </row>
    <row r="202" spans="1:12" x14ac:dyDescent="0.45">
      <c r="A202" s="3" t="s">
        <v>948</v>
      </c>
      <c r="B202" s="3" t="s">
        <v>1072</v>
      </c>
      <c r="C202" s="3" t="s">
        <v>676</v>
      </c>
      <c r="D202" s="9">
        <v>48</v>
      </c>
      <c r="E202" s="3"/>
      <c r="F202" s="3"/>
      <c r="G202" s="9"/>
      <c r="H202" s="10">
        <v>45668.280243055553</v>
      </c>
      <c r="I202" s="10">
        <v>45668.281087962961</v>
      </c>
      <c r="J202" s="10">
        <v>45668.288425925923</v>
      </c>
      <c r="K202" s="11">
        <v>7.3379629629629628E-3</v>
      </c>
      <c r="L202" s="13"/>
    </row>
    <row r="203" spans="1:12" x14ac:dyDescent="0.45">
      <c r="A203" s="3" t="s">
        <v>948</v>
      </c>
      <c r="B203" s="3" t="s">
        <v>1073</v>
      </c>
      <c r="C203" s="3" t="s">
        <v>678</v>
      </c>
      <c r="D203" s="9">
        <v>32</v>
      </c>
      <c r="E203" s="3"/>
      <c r="F203" s="3"/>
      <c r="G203" s="9"/>
      <c r="H203" s="10">
        <v>45668.281087962961</v>
      </c>
      <c r="I203" s="10">
        <v>45668.281886574077</v>
      </c>
      <c r="J203" s="10">
        <v>45668.28633101852</v>
      </c>
      <c r="K203" s="11">
        <v>4.4444444444444436E-3</v>
      </c>
      <c r="L203" s="13"/>
    </row>
    <row r="204" spans="1:12" x14ac:dyDescent="0.45">
      <c r="A204" s="3" t="s">
        <v>948</v>
      </c>
      <c r="B204" s="3" t="s">
        <v>1074</v>
      </c>
      <c r="C204" s="3" t="s">
        <v>680</v>
      </c>
      <c r="D204" s="9">
        <v>48</v>
      </c>
      <c r="E204" s="3"/>
      <c r="F204" s="3"/>
      <c r="G204" s="9"/>
      <c r="H204" s="10">
        <v>45668.281886574077</v>
      </c>
      <c r="I204" s="10">
        <v>45668.287905092591</v>
      </c>
      <c r="J204" s="10">
        <v>45668.294571759259</v>
      </c>
      <c r="K204" s="11">
        <v>6.6666666666666671E-3</v>
      </c>
      <c r="L204" s="13"/>
    </row>
    <row r="205" spans="1:12" x14ac:dyDescent="0.45">
      <c r="A205" s="3" t="s">
        <v>948</v>
      </c>
      <c r="B205" s="3" t="s">
        <v>1075</v>
      </c>
      <c r="C205" s="3" t="s">
        <v>682</v>
      </c>
      <c r="D205" s="9">
        <v>32</v>
      </c>
      <c r="E205" s="3"/>
      <c r="F205" s="3"/>
      <c r="G205" s="9"/>
      <c r="H205" s="10">
        <v>45668.297256944446</v>
      </c>
      <c r="I205" s="10">
        <v>45668.298981481479</v>
      </c>
      <c r="J205" s="10">
        <v>45668.303865740738</v>
      </c>
      <c r="K205" s="11">
        <v>4.8842592592592592E-3</v>
      </c>
      <c r="L205" s="13"/>
    </row>
    <row r="206" spans="1:12" x14ac:dyDescent="0.45">
      <c r="A206" s="3" t="s">
        <v>948</v>
      </c>
      <c r="B206" s="3" t="s">
        <v>1076</v>
      </c>
      <c r="C206" s="3" t="s">
        <v>684</v>
      </c>
      <c r="D206" s="9">
        <v>32</v>
      </c>
      <c r="E206" s="3"/>
      <c r="F206" s="3"/>
      <c r="G206" s="9"/>
      <c r="H206" s="10">
        <v>45668.298981481479</v>
      </c>
      <c r="I206" s="10">
        <v>45668.299849537027</v>
      </c>
      <c r="J206" s="10">
        <v>45668.3047337963</v>
      </c>
      <c r="K206" s="11">
        <v>4.8842592592592592E-3</v>
      </c>
      <c r="L206" s="13"/>
    </row>
    <row r="207" spans="1:12" x14ac:dyDescent="0.45">
      <c r="A207" s="3" t="s">
        <v>948</v>
      </c>
      <c r="B207" s="3" t="s">
        <v>1077</v>
      </c>
      <c r="C207" s="3" t="s">
        <v>686</v>
      </c>
      <c r="D207" s="9">
        <v>48</v>
      </c>
      <c r="E207" s="3"/>
      <c r="F207" s="3"/>
      <c r="G207" s="9"/>
      <c r="H207" s="10">
        <v>45668.299849537027</v>
      </c>
      <c r="I207" s="10">
        <v>45668.300625000003</v>
      </c>
      <c r="J207" s="10">
        <v>45668.307291666657</v>
      </c>
      <c r="K207" s="11">
        <v>6.6666666666666671E-3</v>
      </c>
      <c r="L207" s="13"/>
    </row>
    <row r="208" spans="1:12" x14ac:dyDescent="0.45">
      <c r="A208" s="3" t="s">
        <v>948</v>
      </c>
      <c r="B208" s="3" t="s">
        <v>1078</v>
      </c>
      <c r="C208" s="3" t="s">
        <v>688</v>
      </c>
      <c r="D208" s="9">
        <v>32</v>
      </c>
      <c r="E208" s="3"/>
      <c r="F208" s="3"/>
      <c r="G208" s="9"/>
      <c r="H208" s="10">
        <v>45668.313483796293</v>
      </c>
      <c r="I208" s="10">
        <v>45668.314247685194</v>
      </c>
      <c r="J208" s="10">
        <v>45668.318692129629</v>
      </c>
      <c r="K208" s="11">
        <v>4.4444444444444436E-3</v>
      </c>
      <c r="L208" s="13"/>
    </row>
    <row r="209" spans="1:12" x14ac:dyDescent="0.45">
      <c r="A209" s="3" t="s">
        <v>948</v>
      </c>
      <c r="B209" s="3" t="s">
        <v>1079</v>
      </c>
      <c r="C209" s="3" t="s">
        <v>690</v>
      </c>
      <c r="D209" s="9">
        <v>32</v>
      </c>
      <c r="E209" s="3"/>
      <c r="F209" s="3"/>
      <c r="G209" s="9"/>
      <c r="H209" s="10">
        <v>45668.314803240741</v>
      </c>
      <c r="I209" s="10">
        <v>45668.315671296303</v>
      </c>
      <c r="J209" s="10">
        <v>45668.320567129631</v>
      </c>
      <c r="K209" s="11">
        <v>4.8958333333333336E-3</v>
      </c>
      <c r="L209" s="13"/>
    </row>
    <row r="210" spans="1:12" x14ac:dyDescent="0.45">
      <c r="A210" s="3" t="s">
        <v>948</v>
      </c>
      <c r="B210" s="3" t="s">
        <v>1080</v>
      </c>
      <c r="C210" s="3" t="s">
        <v>698</v>
      </c>
      <c r="D210" s="9">
        <v>32</v>
      </c>
      <c r="E210" s="3"/>
      <c r="F210" s="3"/>
      <c r="G210" s="9"/>
      <c r="H210" s="10">
        <v>45668.509421296287</v>
      </c>
      <c r="I210" s="10">
        <v>45668.510289351849</v>
      </c>
      <c r="J210" s="10">
        <v>45668.515185185177</v>
      </c>
      <c r="K210" s="11">
        <v>4.8958333333333336E-3</v>
      </c>
      <c r="L210" s="13"/>
    </row>
    <row r="211" spans="1:12" x14ac:dyDescent="0.45">
      <c r="A211" s="3" t="s">
        <v>948</v>
      </c>
      <c r="B211" s="3" t="s">
        <v>1081</v>
      </c>
      <c r="C211" s="3" t="s">
        <v>700</v>
      </c>
      <c r="D211" s="9">
        <v>80</v>
      </c>
      <c r="E211" s="3"/>
      <c r="F211" s="3"/>
      <c r="G211" s="9"/>
      <c r="H211" s="10">
        <v>45668.52076388889</v>
      </c>
      <c r="I211" s="10">
        <v>45668.521631944437</v>
      </c>
      <c r="J211" s="10">
        <v>45668.533854166657</v>
      </c>
      <c r="K211" s="11">
        <v>1.2222222222222219E-2</v>
      </c>
      <c r="L211" s="13"/>
    </row>
    <row r="212" spans="1:12" x14ac:dyDescent="0.45">
      <c r="A212" s="3" t="s">
        <v>948</v>
      </c>
      <c r="B212" s="3" t="s">
        <v>1082</v>
      </c>
      <c r="C212" s="3" t="s">
        <v>702</v>
      </c>
      <c r="D212" s="9">
        <v>32</v>
      </c>
      <c r="E212" s="3"/>
      <c r="F212" s="3"/>
      <c r="G212" s="9"/>
      <c r="H212" s="10">
        <v>45668.521631944437</v>
      </c>
      <c r="I212" s="10">
        <v>45668.522499999999</v>
      </c>
      <c r="J212" s="10">
        <v>45668.527384259258</v>
      </c>
      <c r="K212" s="11">
        <v>4.8842592592592592E-3</v>
      </c>
      <c r="L212" s="13"/>
    </row>
    <row r="213" spans="1:12" x14ac:dyDescent="0.45">
      <c r="A213" s="3" t="s">
        <v>948</v>
      </c>
      <c r="B213" s="3" t="s">
        <v>1083</v>
      </c>
      <c r="C213" s="3" t="s">
        <v>704</v>
      </c>
      <c r="D213" s="9">
        <v>32</v>
      </c>
      <c r="E213" s="3"/>
      <c r="F213" s="3"/>
      <c r="G213" s="9"/>
      <c r="H213" s="10">
        <v>45668.521956018521</v>
      </c>
      <c r="I213" s="10">
        <v>45668.522812499999</v>
      </c>
      <c r="J213" s="10">
        <v>45668.527696759258</v>
      </c>
      <c r="K213" s="11">
        <v>4.8842592592592592E-3</v>
      </c>
      <c r="L213" s="13"/>
    </row>
    <row r="214" spans="1:12" x14ac:dyDescent="0.45">
      <c r="A214" s="3" t="s">
        <v>948</v>
      </c>
      <c r="B214" s="3" t="s">
        <v>1084</v>
      </c>
      <c r="C214" s="3" t="s">
        <v>706</v>
      </c>
      <c r="D214" s="9">
        <v>32</v>
      </c>
      <c r="E214" s="3"/>
      <c r="F214" s="3"/>
      <c r="G214" s="9"/>
      <c r="H214" s="10">
        <v>45668.529074074067</v>
      </c>
      <c r="I214" s="10">
        <v>45668.529872685183</v>
      </c>
      <c r="J214" s="10">
        <v>45668.534317129634</v>
      </c>
      <c r="K214" s="11">
        <v>4.4444444444444436E-3</v>
      </c>
      <c r="L214" s="13"/>
    </row>
    <row r="215" spans="1:12" x14ac:dyDescent="0.45">
      <c r="A215" s="3" t="s">
        <v>948</v>
      </c>
      <c r="B215" s="3" t="s">
        <v>1085</v>
      </c>
      <c r="C215" s="3" t="s">
        <v>708</v>
      </c>
      <c r="D215" s="9">
        <v>80</v>
      </c>
      <c r="E215" s="3"/>
      <c r="F215" s="3"/>
      <c r="G215" s="9"/>
      <c r="H215" s="10">
        <v>45668.529872685183</v>
      </c>
      <c r="I215" s="10">
        <v>45668.530717592592</v>
      </c>
      <c r="J215" s="10">
        <v>45668.542939814812</v>
      </c>
      <c r="K215" s="11">
        <v>1.2222222222222219E-2</v>
      </c>
      <c r="L215" s="13"/>
    </row>
    <row r="216" spans="1:12" x14ac:dyDescent="0.45">
      <c r="A216" s="3" t="s">
        <v>948</v>
      </c>
      <c r="B216" s="3" t="s">
        <v>1086</v>
      </c>
      <c r="C216" s="3" t="s">
        <v>710</v>
      </c>
      <c r="D216" s="9">
        <v>48</v>
      </c>
      <c r="E216" s="3"/>
      <c r="F216" s="3"/>
      <c r="G216" s="9"/>
      <c r="H216" s="10">
        <v>45668.535451388889</v>
      </c>
      <c r="I216" s="10">
        <v>45668.536238425928</v>
      </c>
      <c r="J216" s="10">
        <v>45668.542905092603</v>
      </c>
      <c r="K216" s="11">
        <v>6.6666666666666671E-3</v>
      </c>
      <c r="L216" s="13"/>
    </row>
    <row r="217" spans="1:12" x14ac:dyDescent="0.45">
      <c r="A217" s="3" t="s">
        <v>948</v>
      </c>
      <c r="B217" s="3" t="s">
        <v>1087</v>
      </c>
      <c r="C217" s="3" t="s">
        <v>712</v>
      </c>
      <c r="D217" s="9">
        <v>32</v>
      </c>
      <c r="E217" s="3"/>
      <c r="F217" s="3"/>
      <c r="G217" s="9"/>
      <c r="H217" s="10">
        <v>45668.536851851852</v>
      </c>
      <c r="I217" s="10">
        <v>45668.539780092593</v>
      </c>
      <c r="J217" s="10">
        <v>45668.544224537043</v>
      </c>
      <c r="K217" s="11">
        <v>4.4444444444444436E-3</v>
      </c>
      <c r="L217" s="13"/>
    </row>
    <row r="218" spans="1:12" x14ac:dyDescent="0.45">
      <c r="A218" s="3" t="s">
        <v>948</v>
      </c>
      <c r="B218" s="3" t="s">
        <v>1088</v>
      </c>
      <c r="C218" s="3" t="s">
        <v>720</v>
      </c>
      <c r="D218" s="9">
        <v>48</v>
      </c>
      <c r="E218" s="3"/>
      <c r="F218" s="3"/>
      <c r="G218" s="9"/>
      <c r="H218" s="10">
        <v>45668.565104166657</v>
      </c>
      <c r="I218" s="10">
        <v>45668.571331018517</v>
      </c>
      <c r="J218" s="10">
        <v>45668.578657407408</v>
      </c>
      <c r="K218" s="11">
        <v>7.3263888888888892E-3</v>
      </c>
      <c r="L218" s="13"/>
    </row>
    <row r="219" spans="1:12" x14ac:dyDescent="0.45">
      <c r="A219" s="3" t="s">
        <v>948</v>
      </c>
      <c r="B219" s="3" t="s">
        <v>1089</v>
      </c>
      <c r="C219" s="3" t="s">
        <v>725</v>
      </c>
      <c r="D219" s="9">
        <v>80</v>
      </c>
      <c r="E219" s="3"/>
      <c r="F219" s="3"/>
      <c r="G219" s="9"/>
      <c r="H219" s="10">
        <v>45668.571331018517</v>
      </c>
      <c r="I219" s="10">
        <v>45668.572199074071</v>
      </c>
      <c r="J219" s="10">
        <v>45668.584421296298</v>
      </c>
      <c r="K219" s="11">
        <v>1.2222222222222219E-2</v>
      </c>
      <c r="L219" s="13"/>
    </row>
    <row r="220" spans="1:12" x14ac:dyDescent="0.45">
      <c r="A220" s="3" t="s">
        <v>948</v>
      </c>
      <c r="B220" s="3" t="s">
        <v>1090</v>
      </c>
      <c r="C220" s="3" t="s">
        <v>733</v>
      </c>
      <c r="D220" s="9">
        <v>32</v>
      </c>
      <c r="E220" s="3"/>
      <c r="F220" s="3"/>
      <c r="G220" s="9"/>
      <c r="H220" s="10">
        <v>45668.757696759261</v>
      </c>
      <c r="I220" s="10">
        <v>45668.75854166667</v>
      </c>
      <c r="J220" s="10">
        <v>45668.763425925928</v>
      </c>
      <c r="K220" s="11">
        <v>4.8842592592592592E-3</v>
      </c>
      <c r="L220" s="13"/>
    </row>
    <row r="221" spans="1:12" x14ac:dyDescent="0.45">
      <c r="A221" s="3" t="s">
        <v>948</v>
      </c>
      <c r="B221" s="3" t="s">
        <v>1091</v>
      </c>
      <c r="C221" s="3" t="s">
        <v>738</v>
      </c>
      <c r="D221" s="9">
        <v>64</v>
      </c>
      <c r="E221" s="3"/>
      <c r="F221" s="3"/>
      <c r="G221" s="9"/>
      <c r="H221" s="10">
        <v>45668.889525462961</v>
      </c>
      <c r="I221" s="10">
        <v>45668.890393518523</v>
      </c>
      <c r="J221" s="10">
        <v>45668.900173611109</v>
      </c>
      <c r="K221" s="11">
        <v>9.780092592592592E-3</v>
      </c>
      <c r="L221" s="13"/>
    </row>
    <row r="222" spans="1:12" x14ac:dyDescent="0.45">
      <c r="A222" s="3" t="s">
        <v>948</v>
      </c>
      <c r="B222" s="3" t="s">
        <v>1092</v>
      </c>
      <c r="C222" s="3" t="s">
        <v>740</v>
      </c>
      <c r="D222" s="9">
        <v>48</v>
      </c>
      <c r="E222" s="3"/>
      <c r="F222" s="3"/>
      <c r="G222" s="9"/>
      <c r="H222" s="10">
        <v>45668.891018518523</v>
      </c>
      <c r="I222" s="10">
        <v>45668.891793981478</v>
      </c>
      <c r="J222" s="10">
        <v>45668.898460648154</v>
      </c>
      <c r="K222" s="11">
        <v>6.6666666666666671E-3</v>
      </c>
      <c r="L222" s="13"/>
    </row>
    <row r="223" spans="1:12" x14ac:dyDescent="0.45">
      <c r="A223" s="3" t="s">
        <v>948</v>
      </c>
      <c r="B223" s="3" t="s">
        <v>1093</v>
      </c>
      <c r="C223" s="3" t="s">
        <v>742</v>
      </c>
      <c r="D223" s="9">
        <v>64</v>
      </c>
      <c r="E223" s="3"/>
      <c r="F223" s="3"/>
      <c r="G223" s="9"/>
      <c r="H223" s="10">
        <v>45668.891793981478</v>
      </c>
      <c r="I223" s="10">
        <v>45668.892627314817</v>
      </c>
      <c r="J223" s="10">
        <v>45668.902407407397</v>
      </c>
      <c r="K223" s="11">
        <v>9.780092592592592E-3</v>
      </c>
      <c r="L223" s="13"/>
    </row>
    <row r="224" spans="1:12" x14ac:dyDescent="0.45">
      <c r="A224" s="3" t="s">
        <v>948</v>
      </c>
      <c r="B224" s="3" t="s">
        <v>1094</v>
      </c>
      <c r="C224" s="3" t="s">
        <v>744</v>
      </c>
      <c r="D224" s="9">
        <v>48</v>
      </c>
      <c r="E224" s="3"/>
      <c r="F224" s="3"/>
      <c r="G224" s="9"/>
      <c r="H224" s="10">
        <v>45668.892627314817</v>
      </c>
      <c r="I224" s="10">
        <v>45668.893414351849</v>
      </c>
      <c r="J224" s="10">
        <v>45668.900081018517</v>
      </c>
      <c r="K224" s="11">
        <v>6.6666666666666671E-3</v>
      </c>
      <c r="L224" s="13"/>
    </row>
    <row r="225" spans="1:12" x14ac:dyDescent="0.45">
      <c r="A225" s="3" t="s">
        <v>948</v>
      </c>
      <c r="B225" s="3" t="s">
        <v>1095</v>
      </c>
      <c r="C225" s="3" t="s">
        <v>752</v>
      </c>
      <c r="D225" s="9">
        <v>48</v>
      </c>
      <c r="E225" s="3"/>
      <c r="F225" s="3"/>
      <c r="G225" s="9"/>
      <c r="H225" s="10">
        <v>45668.989027777781</v>
      </c>
      <c r="I225" s="10">
        <v>45668.989872685182</v>
      </c>
      <c r="J225" s="10">
        <v>45668.997210648151</v>
      </c>
      <c r="K225" s="11">
        <v>7.3379629629629628E-3</v>
      </c>
      <c r="L225" s="13"/>
    </row>
    <row r="226" spans="1:12" x14ac:dyDescent="0.45">
      <c r="A226" s="3" t="s">
        <v>948</v>
      </c>
      <c r="B226" s="3" t="s">
        <v>1096</v>
      </c>
      <c r="C226" s="3" t="s">
        <v>757</v>
      </c>
      <c r="D226" s="9">
        <v>32</v>
      </c>
      <c r="E226" s="3"/>
      <c r="F226" s="3"/>
      <c r="G226" s="9"/>
      <c r="H226" s="10">
        <v>45669.348078703697</v>
      </c>
      <c r="I226" s="10">
        <v>45669.348923611113</v>
      </c>
      <c r="J226" s="10">
        <v>45669.353819444441</v>
      </c>
      <c r="K226" s="11">
        <v>4.8958333333333336E-3</v>
      </c>
      <c r="L226" s="13"/>
    </row>
    <row r="227" spans="1:12" x14ac:dyDescent="0.45">
      <c r="A227" s="3" t="s">
        <v>948</v>
      </c>
      <c r="B227" s="3" t="s">
        <v>1097</v>
      </c>
      <c r="C227" s="3" t="s">
        <v>759</v>
      </c>
      <c r="D227" s="9">
        <v>48</v>
      </c>
      <c r="E227" s="3"/>
      <c r="F227" s="3"/>
      <c r="G227" s="9"/>
      <c r="H227" s="10">
        <v>45669.348946759259</v>
      </c>
      <c r="I227" s="10">
        <v>45669.349814814806</v>
      </c>
      <c r="J227" s="10">
        <v>45669.357141203713</v>
      </c>
      <c r="K227" s="11">
        <v>7.3263888888888892E-3</v>
      </c>
      <c r="L227" s="13"/>
    </row>
    <row r="228" spans="1:12" x14ac:dyDescent="0.45">
      <c r="A228" s="3" t="s">
        <v>948</v>
      </c>
      <c r="B228" s="3" t="s">
        <v>1098</v>
      </c>
      <c r="C228" s="3" t="s">
        <v>761</v>
      </c>
      <c r="D228" s="9">
        <v>32</v>
      </c>
      <c r="E228" s="3"/>
      <c r="F228" s="3"/>
      <c r="G228" s="9"/>
      <c r="H228" s="10">
        <v>45669.350266203714</v>
      </c>
      <c r="I228" s="10">
        <v>45669.351111111107</v>
      </c>
      <c r="J228" s="10">
        <v>45669.355995370373</v>
      </c>
      <c r="K228" s="11">
        <v>4.8842592592592592E-3</v>
      </c>
      <c r="L228" s="13"/>
    </row>
    <row r="229" spans="1:12" x14ac:dyDescent="0.45">
      <c r="A229" s="3" t="s">
        <v>948</v>
      </c>
      <c r="B229" s="3" t="s">
        <v>1099</v>
      </c>
      <c r="C229" s="3" t="s">
        <v>765</v>
      </c>
      <c r="D229" s="9">
        <v>48</v>
      </c>
      <c r="E229" s="3"/>
      <c r="F229" s="3"/>
      <c r="G229" s="9"/>
      <c r="H229" s="10">
        <v>45669.351134259261</v>
      </c>
      <c r="I229" s="10">
        <v>45669.351909722223</v>
      </c>
      <c r="J229" s="10">
        <v>45669.358576388891</v>
      </c>
      <c r="K229" s="11">
        <v>6.6666666666666671E-3</v>
      </c>
      <c r="L229" s="13"/>
    </row>
    <row r="230" spans="1:12" x14ac:dyDescent="0.45">
      <c r="A230" s="3" t="s">
        <v>948</v>
      </c>
      <c r="B230" s="3" t="s">
        <v>1100</v>
      </c>
      <c r="C230" s="3" t="s">
        <v>763</v>
      </c>
      <c r="D230" s="9">
        <v>48</v>
      </c>
      <c r="E230" s="3"/>
      <c r="F230" s="3"/>
      <c r="G230" s="9"/>
      <c r="H230" s="10">
        <v>45669.351111111107</v>
      </c>
      <c r="I230" s="10">
        <v>45669.351979166669</v>
      </c>
      <c r="J230" s="10">
        <v>45669.359305555547</v>
      </c>
      <c r="K230" s="11">
        <v>7.3263888888888892E-3</v>
      </c>
      <c r="L230" s="13"/>
    </row>
    <row r="231" spans="1:12" x14ac:dyDescent="0.45">
      <c r="A231" s="3" t="s">
        <v>948</v>
      </c>
      <c r="B231" s="3" t="s">
        <v>1101</v>
      </c>
      <c r="C231" s="3" t="s">
        <v>767</v>
      </c>
      <c r="D231" s="9">
        <v>80</v>
      </c>
      <c r="E231" s="3"/>
      <c r="F231" s="3"/>
      <c r="G231" s="9"/>
      <c r="H231" s="10">
        <v>45669.404270833344</v>
      </c>
      <c r="I231" s="10">
        <v>45669.405115740738</v>
      </c>
      <c r="J231" s="10">
        <v>45669.417337962957</v>
      </c>
      <c r="K231" s="11">
        <v>1.2222222222222219E-2</v>
      </c>
      <c r="L231" s="13"/>
    </row>
    <row r="232" spans="1:12" x14ac:dyDescent="0.45">
      <c r="A232" s="3" t="s">
        <v>948</v>
      </c>
      <c r="B232" s="3" t="s">
        <v>1102</v>
      </c>
      <c r="C232" s="3" t="s">
        <v>769</v>
      </c>
      <c r="D232" s="9">
        <v>48</v>
      </c>
      <c r="E232" s="3"/>
      <c r="F232" s="3"/>
      <c r="G232" s="9"/>
      <c r="H232" s="10">
        <v>45669.405717592592</v>
      </c>
      <c r="I232" s="10">
        <v>45669.406504629631</v>
      </c>
      <c r="J232" s="10">
        <v>45669.413171296299</v>
      </c>
      <c r="K232" s="11">
        <v>6.6666666666666671E-3</v>
      </c>
      <c r="L232" s="13"/>
    </row>
    <row r="233" spans="1:12" x14ac:dyDescent="0.45">
      <c r="A233" s="3" t="s">
        <v>948</v>
      </c>
      <c r="B233" s="3" t="s">
        <v>1103</v>
      </c>
      <c r="C233" s="3" t="s">
        <v>772</v>
      </c>
      <c r="D233" s="9">
        <v>32</v>
      </c>
      <c r="E233" s="3"/>
      <c r="F233" s="3"/>
      <c r="G233" s="9"/>
      <c r="H233" s="10">
        <v>45669.43209490741</v>
      </c>
      <c r="I233" s="10">
        <v>45669.432939814818</v>
      </c>
      <c r="J233" s="10">
        <v>45669.437824074077</v>
      </c>
      <c r="K233" s="11">
        <v>4.8842592592592592E-3</v>
      </c>
      <c r="L233" s="13"/>
    </row>
    <row r="234" spans="1:12" x14ac:dyDescent="0.45">
      <c r="A234" s="3" t="s">
        <v>948</v>
      </c>
      <c r="B234" s="3" t="s">
        <v>1104</v>
      </c>
      <c r="C234" s="3" t="s">
        <v>775</v>
      </c>
      <c r="D234" s="9">
        <v>64</v>
      </c>
      <c r="E234" s="3"/>
      <c r="F234" s="3"/>
      <c r="G234" s="9"/>
      <c r="H234" s="10">
        <v>45669.434189814812</v>
      </c>
      <c r="I234" s="10">
        <v>45669.435057870367</v>
      </c>
      <c r="J234" s="10">
        <v>45669.444837962961</v>
      </c>
      <c r="K234" s="11">
        <v>9.780092592592592E-3</v>
      </c>
      <c r="L234" s="13"/>
    </row>
    <row r="235" spans="1:12" x14ac:dyDescent="0.45">
      <c r="A235" s="3" t="s">
        <v>948</v>
      </c>
      <c r="B235" s="3" t="s">
        <v>1105</v>
      </c>
      <c r="C235" s="3" t="s">
        <v>780</v>
      </c>
      <c r="D235" s="9">
        <v>32</v>
      </c>
      <c r="E235" s="3"/>
      <c r="F235" s="3"/>
      <c r="G235" s="9"/>
      <c r="H235" s="10">
        <v>45669.470601851863</v>
      </c>
      <c r="I235" s="10">
        <v>45669.471388888887</v>
      </c>
      <c r="J235" s="10">
        <v>45669.47583333333</v>
      </c>
      <c r="K235" s="11">
        <v>4.4444444444444436E-3</v>
      </c>
      <c r="L235" s="13"/>
    </row>
    <row r="236" spans="1:12" x14ac:dyDescent="0.45">
      <c r="A236" s="3" t="s">
        <v>948</v>
      </c>
      <c r="B236" s="3" t="s">
        <v>1106</v>
      </c>
      <c r="C236" s="3" t="s">
        <v>781</v>
      </c>
      <c r="D236" s="9">
        <v>64</v>
      </c>
      <c r="E236" s="3"/>
      <c r="F236" s="3"/>
      <c r="G236" s="9"/>
      <c r="H236" s="10">
        <v>45669.471875000003</v>
      </c>
      <c r="I236" s="10">
        <v>45669.472743055558</v>
      </c>
      <c r="J236" s="10">
        <v>45669.482523148137</v>
      </c>
      <c r="K236" s="11">
        <v>9.780092592592592E-3</v>
      </c>
      <c r="L236" s="13"/>
    </row>
    <row r="237" spans="1:12" x14ac:dyDescent="0.45">
      <c r="A237" s="3" t="s">
        <v>948</v>
      </c>
      <c r="B237" s="3" t="s">
        <v>1107</v>
      </c>
      <c r="C237" s="3" t="s">
        <v>783</v>
      </c>
      <c r="D237" s="9">
        <v>64</v>
      </c>
      <c r="E237" s="3"/>
      <c r="F237" s="3"/>
      <c r="G237" s="9"/>
      <c r="H237" s="10">
        <v>45669.503125000003</v>
      </c>
      <c r="I237" s="10">
        <v>45669.503993055558</v>
      </c>
      <c r="J237" s="10">
        <v>45669.513761574082</v>
      </c>
      <c r="K237" s="11">
        <v>9.7685185185185184E-3</v>
      </c>
      <c r="L237" s="13"/>
    </row>
    <row r="238" spans="1:12" x14ac:dyDescent="0.45">
      <c r="A238" s="3" t="s">
        <v>948</v>
      </c>
      <c r="B238" s="3" t="s">
        <v>1108</v>
      </c>
      <c r="C238" s="3" t="s">
        <v>789</v>
      </c>
      <c r="D238" s="9">
        <v>48</v>
      </c>
      <c r="E238" s="3"/>
      <c r="F238" s="3"/>
      <c r="G238" s="9"/>
      <c r="H238" s="10">
        <v>45669.677789351852</v>
      </c>
      <c r="I238" s="10">
        <v>45669.67863425926</v>
      </c>
      <c r="J238" s="10">
        <v>45669.685972222222</v>
      </c>
      <c r="K238" s="11">
        <v>7.3379629629629628E-3</v>
      </c>
      <c r="L238" s="13"/>
    </row>
    <row r="239" spans="1:12" x14ac:dyDescent="0.45">
      <c r="A239" s="3" t="s">
        <v>948</v>
      </c>
      <c r="B239" s="3" t="s">
        <v>1109</v>
      </c>
      <c r="C239" s="3" t="s">
        <v>795</v>
      </c>
      <c r="D239" s="9">
        <v>48</v>
      </c>
      <c r="E239" s="3"/>
      <c r="F239" s="3"/>
      <c r="G239" s="9"/>
      <c r="H239" s="10">
        <v>45669.80064814815</v>
      </c>
      <c r="I239" s="10">
        <v>45669.801481481481</v>
      </c>
      <c r="J239" s="10">
        <v>45669.808819444443</v>
      </c>
      <c r="K239" s="11">
        <v>7.3379629629629628E-3</v>
      </c>
      <c r="L239" s="13"/>
    </row>
    <row r="240" spans="1:12" x14ac:dyDescent="0.45">
      <c r="A240" s="3" t="s">
        <v>948</v>
      </c>
      <c r="B240" s="3" t="s">
        <v>1110</v>
      </c>
      <c r="C240" s="3" t="s">
        <v>797</v>
      </c>
      <c r="D240" s="9">
        <v>48</v>
      </c>
      <c r="E240" s="3"/>
      <c r="F240" s="3"/>
      <c r="G240" s="9"/>
      <c r="H240" s="10">
        <v>45669.802233796298</v>
      </c>
      <c r="I240" s="10">
        <v>45669.803101851852</v>
      </c>
      <c r="J240" s="10">
        <v>45669.810439814813</v>
      </c>
      <c r="K240" s="11">
        <v>7.3379629629629628E-3</v>
      </c>
      <c r="L240" s="13"/>
    </row>
    <row r="241" spans="1:12" x14ac:dyDescent="0.45">
      <c r="A241" s="3" t="s">
        <v>948</v>
      </c>
      <c r="B241" s="3" t="s">
        <v>1111</v>
      </c>
      <c r="C241" s="3" t="s">
        <v>799</v>
      </c>
      <c r="D241" s="9">
        <v>64</v>
      </c>
      <c r="E241" s="3"/>
      <c r="F241" s="3"/>
      <c r="G241" s="9"/>
      <c r="H241" s="10">
        <v>45669.803101851852</v>
      </c>
      <c r="I241" s="10">
        <v>45669.803946759261</v>
      </c>
      <c r="J241" s="10">
        <v>45669.813726851848</v>
      </c>
      <c r="K241" s="11">
        <v>9.780092592592592E-3</v>
      </c>
      <c r="L241" s="13"/>
    </row>
    <row r="242" spans="1:12" x14ac:dyDescent="0.45">
      <c r="A242" s="3" t="s">
        <v>948</v>
      </c>
      <c r="B242" s="3" t="s">
        <v>1112</v>
      </c>
      <c r="C242" s="3" t="s">
        <v>801</v>
      </c>
      <c r="D242" s="9">
        <v>32</v>
      </c>
      <c r="E242" s="3"/>
      <c r="F242" s="3"/>
      <c r="G242" s="9"/>
      <c r="H242" s="10">
        <v>45669.927407407413</v>
      </c>
      <c r="I242" s="10">
        <v>45669.92827546296</v>
      </c>
      <c r="J242" s="10">
        <v>45669.933159722219</v>
      </c>
      <c r="K242" s="11">
        <v>4.8842592592592592E-3</v>
      </c>
      <c r="L242" s="13"/>
    </row>
    <row r="243" spans="1:12" x14ac:dyDescent="0.45">
      <c r="A243" s="3" t="s">
        <v>948</v>
      </c>
      <c r="B243" s="3" t="s">
        <v>1113</v>
      </c>
      <c r="C243" s="3" t="s">
        <v>803</v>
      </c>
      <c r="D243" s="9">
        <v>48</v>
      </c>
      <c r="E243" s="3"/>
      <c r="F243" s="3"/>
      <c r="G243" s="9"/>
      <c r="H243" s="10">
        <v>45669.92827546296</v>
      </c>
      <c r="I243" s="10">
        <v>45669.929108796299</v>
      </c>
      <c r="J243" s="10">
        <v>45669.93644675926</v>
      </c>
      <c r="K243" s="11">
        <v>7.3379629629629628E-3</v>
      </c>
      <c r="L243" s="13"/>
    </row>
    <row r="244" spans="1:12" x14ac:dyDescent="0.45">
      <c r="A244" s="3" t="s">
        <v>948</v>
      </c>
      <c r="B244" s="3" t="s">
        <v>1114</v>
      </c>
      <c r="C244" s="3" t="s">
        <v>805</v>
      </c>
      <c r="D244" s="9">
        <v>48</v>
      </c>
      <c r="E244" s="3"/>
      <c r="F244" s="3"/>
      <c r="G244" s="9"/>
      <c r="H244" s="10">
        <v>45669.929108796299</v>
      </c>
      <c r="I244" s="10">
        <v>45669.9299537037</v>
      </c>
      <c r="J244" s="10">
        <v>45669.937291666669</v>
      </c>
      <c r="K244" s="11">
        <v>7.3379629629629628E-3</v>
      </c>
      <c r="L244" s="13"/>
    </row>
    <row r="245" spans="1:12" x14ac:dyDescent="0.45">
      <c r="A245" s="3" t="s">
        <v>948</v>
      </c>
      <c r="B245" s="3" t="s">
        <v>1115</v>
      </c>
      <c r="C245" s="3" t="s">
        <v>807</v>
      </c>
      <c r="D245" s="9">
        <v>32</v>
      </c>
      <c r="E245" s="3"/>
      <c r="F245" s="3"/>
      <c r="G245" s="9"/>
      <c r="H245" s="10">
        <v>45669.9299537037</v>
      </c>
      <c r="I245" s="10">
        <v>45669.93074074074</v>
      </c>
      <c r="J245" s="10">
        <v>45669.935185185182</v>
      </c>
      <c r="K245" s="11">
        <v>4.4444444444444436E-3</v>
      </c>
      <c r="L245" s="13"/>
    </row>
    <row r="246" spans="1:12" x14ac:dyDescent="0.45">
      <c r="A246" s="3" t="s">
        <v>948</v>
      </c>
      <c r="B246" s="3" t="s">
        <v>1116</v>
      </c>
      <c r="C246" s="3" t="s">
        <v>809</v>
      </c>
      <c r="D246" s="9">
        <v>64</v>
      </c>
      <c r="E246" s="3"/>
      <c r="F246" s="3"/>
      <c r="G246" s="9"/>
      <c r="H246" s="10">
        <v>45669.93074074074</v>
      </c>
      <c r="I246" s="10">
        <v>45669.931608796287</v>
      </c>
      <c r="J246" s="10">
        <v>45669.941388888888</v>
      </c>
      <c r="K246" s="11">
        <v>9.780092592592592E-3</v>
      </c>
      <c r="L246" s="13"/>
    </row>
    <row r="247" spans="1:12" x14ac:dyDescent="0.45">
      <c r="A247" s="3" t="s">
        <v>839</v>
      </c>
      <c r="B247" s="3" t="s">
        <v>1117</v>
      </c>
      <c r="C247" s="3" t="s">
        <v>244</v>
      </c>
      <c r="D247" s="9">
        <v>112</v>
      </c>
      <c r="E247" s="3" t="s">
        <v>813</v>
      </c>
      <c r="F247" s="3" t="s">
        <v>840</v>
      </c>
      <c r="G247" s="9">
        <v>223.61</v>
      </c>
      <c r="H247" s="10">
        <v>45663.250625000001</v>
      </c>
      <c r="I247" s="10">
        <v>45663.250625000001</v>
      </c>
      <c r="J247" s="10">
        <v>45663.251342592594</v>
      </c>
      <c r="K247" s="11">
        <v>7.1759259259259259E-4</v>
      </c>
      <c r="L247" s="13"/>
    </row>
    <row r="248" spans="1:12" x14ac:dyDescent="0.45">
      <c r="A248" s="3" t="s">
        <v>839</v>
      </c>
      <c r="B248" s="3" t="s">
        <v>1118</v>
      </c>
      <c r="C248" s="3" t="s">
        <v>232</v>
      </c>
      <c r="D248" s="9">
        <v>112</v>
      </c>
      <c r="E248" s="3" t="s">
        <v>814</v>
      </c>
      <c r="F248" s="3" t="s">
        <v>840</v>
      </c>
      <c r="G248" s="9">
        <v>188.33</v>
      </c>
      <c r="H248" s="10">
        <v>45663.257916666669</v>
      </c>
      <c r="I248" s="10">
        <v>45663.257916666669</v>
      </c>
      <c r="J248" s="10">
        <v>45663.258576388893</v>
      </c>
      <c r="K248" s="11">
        <v>6.5972222222222224E-4</v>
      </c>
      <c r="L248" s="13"/>
    </row>
    <row r="249" spans="1:12" x14ac:dyDescent="0.45">
      <c r="A249" s="3" t="s">
        <v>839</v>
      </c>
      <c r="B249" s="3" t="s">
        <v>1119</v>
      </c>
      <c r="C249" s="3" t="s">
        <v>256</v>
      </c>
      <c r="D249" s="9">
        <v>160</v>
      </c>
      <c r="E249" s="3" t="s">
        <v>813</v>
      </c>
      <c r="F249" s="3" t="s">
        <v>840</v>
      </c>
      <c r="G249" s="9">
        <v>223.61</v>
      </c>
      <c r="H249" s="10">
        <v>45663.362962962958</v>
      </c>
      <c r="I249" s="10">
        <v>45663.362962962958</v>
      </c>
      <c r="J249" s="10">
        <v>45663.363796296297</v>
      </c>
      <c r="K249" s="11">
        <v>8.3333333333333339E-4</v>
      </c>
      <c r="L249" s="13"/>
    </row>
    <row r="250" spans="1:12" x14ac:dyDescent="0.45">
      <c r="A250" s="3" t="s">
        <v>839</v>
      </c>
      <c r="B250" s="3" t="s">
        <v>1120</v>
      </c>
      <c r="C250" s="3" t="s">
        <v>241</v>
      </c>
      <c r="D250" s="9">
        <v>128</v>
      </c>
      <c r="E250" s="3" t="s">
        <v>815</v>
      </c>
      <c r="F250" s="3" t="s">
        <v>840</v>
      </c>
      <c r="G250" s="9">
        <v>286.14</v>
      </c>
      <c r="H250" s="10">
        <v>45663.659629629627</v>
      </c>
      <c r="I250" s="10">
        <v>45663.659629629627</v>
      </c>
      <c r="J250" s="10">
        <v>45663.660520833328</v>
      </c>
      <c r="K250" s="11">
        <v>8.9120370370370373E-4</v>
      </c>
      <c r="L250" s="13"/>
    </row>
    <row r="251" spans="1:12" x14ac:dyDescent="0.45">
      <c r="A251" s="3" t="s">
        <v>839</v>
      </c>
      <c r="B251" s="3" t="s">
        <v>1121</v>
      </c>
      <c r="C251" s="3" t="s">
        <v>264</v>
      </c>
      <c r="D251" s="9">
        <v>176</v>
      </c>
      <c r="E251" s="3" t="s">
        <v>813</v>
      </c>
      <c r="F251" s="3" t="s">
        <v>840</v>
      </c>
      <c r="G251" s="9">
        <v>223.61</v>
      </c>
      <c r="H251" s="10">
        <v>45663.668194444443</v>
      </c>
      <c r="I251" s="10">
        <v>45663.668194444443</v>
      </c>
      <c r="J251" s="10">
        <v>45663.669074074067</v>
      </c>
      <c r="K251" s="11">
        <v>8.7962962962962962E-4</v>
      </c>
      <c r="L251" s="13"/>
    </row>
    <row r="252" spans="1:12" x14ac:dyDescent="0.45">
      <c r="A252" s="3" t="s">
        <v>839</v>
      </c>
      <c r="B252" s="3" t="s">
        <v>1122</v>
      </c>
      <c r="C252" s="3" t="s">
        <v>248</v>
      </c>
      <c r="D252" s="9">
        <v>144</v>
      </c>
      <c r="E252" s="3" t="s">
        <v>816</v>
      </c>
      <c r="F252" s="3" t="s">
        <v>840</v>
      </c>
      <c r="G252" s="9">
        <v>205.9</v>
      </c>
      <c r="H252" s="10">
        <v>45664.292893518519</v>
      </c>
      <c r="I252" s="10">
        <v>45664.292893518519</v>
      </c>
      <c r="J252" s="10">
        <v>45664.293657407397</v>
      </c>
      <c r="K252" s="11">
        <v>7.6388888888888893E-4</v>
      </c>
      <c r="L252" s="13"/>
    </row>
    <row r="253" spans="1:12" x14ac:dyDescent="0.45">
      <c r="A253" s="3" t="s">
        <v>839</v>
      </c>
      <c r="B253" s="3" t="s">
        <v>1123</v>
      </c>
      <c r="C253" s="3" t="s">
        <v>238</v>
      </c>
      <c r="D253" s="9">
        <v>192</v>
      </c>
      <c r="E253" s="3" t="s">
        <v>817</v>
      </c>
      <c r="F253" s="3" t="s">
        <v>840</v>
      </c>
      <c r="G253" s="9">
        <v>240.31</v>
      </c>
      <c r="H253" s="10">
        <v>45664.306157407409</v>
      </c>
      <c r="I253" s="10">
        <v>45664.306157407409</v>
      </c>
      <c r="J253" s="10">
        <v>45664.30709490741</v>
      </c>
      <c r="K253" s="11">
        <v>9.3749999999999997E-4</v>
      </c>
      <c r="L253" s="13"/>
    </row>
    <row r="254" spans="1:12" x14ac:dyDescent="0.45">
      <c r="A254" s="3" t="s">
        <v>839</v>
      </c>
      <c r="B254" s="3" t="s">
        <v>1124</v>
      </c>
      <c r="C254" s="3" t="s">
        <v>284</v>
      </c>
      <c r="D254" s="9">
        <v>128</v>
      </c>
      <c r="E254" s="3" t="s">
        <v>813</v>
      </c>
      <c r="F254" s="3" t="s">
        <v>840</v>
      </c>
      <c r="G254" s="9">
        <v>223.61</v>
      </c>
      <c r="H254" s="10">
        <v>45664.33011574074</v>
      </c>
      <c r="I254" s="10">
        <v>45664.33011574074</v>
      </c>
      <c r="J254" s="10">
        <v>45664.330868055556</v>
      </c>
      <c r="K254" s="11">
        <v>7.5231481481481482E-4</v>
      </c>
      <c r="L254" s="13"/>
    </row>
    <row r="255" spans="1:12" x14ac:dyDescent="0.45">
      <c r="A255" s="3" t="s">
        <v>839</v>
      </c>
      <c r="B255" s="3" t="s">
        <v>1125</v>
      </c>
      <c r="C255" s="3" t="s">
        <v>292</v>
      </c>
      <c r="D255" s="9">
        <v>112</v>
      </c>
      <c r="E255" s="3" t="s">
        <v>814</v>
      </c>
      <c r="F255" s="3" t="s">
        <v>840</v>
      </c>
      <c r="G255" s="9">
        <v>188.33</v>
      </c>
      <c r="H255" s="10">
        <v>45664.33011574074</v>
      </c>
      <c r="I255" s="10">
        <v>45664.330868055556</v>
      </c>
      <c r="J255" s="10">
        <v>45664.33152777778</v>
      </c>
      <c r="K255" s="11">
        <v>6.5972222222222224E-4</v>
      </c>
      <c r="L255" s="13"/>
    </row>
    <row r="256" spans="1:12" x14ac:dyDescent="0.45">
      <c r="A256" s="3" t="s">
        <v>839</v>
      </c>
      <c r="B256" s="3" t="s">
        <v>1126</v>
      </c>
      <c r="C256" s="3" t="s">
        <v>289</v>
      </c>
      <c r="D256" s="9">
        <v>144</v>
      </c>
      <c r="E256" s="3" t="s">
        <v>815</v>
      </c>
      <c r="F256" s="3" t="s">
        <v>840</v>
      </c>
      <c r="G256" s="9">
        <v>286.14</v>
      </c>
      <c r="H256" s="10">
        <v>45664.340694444443</v>
      </c>
      <c r="I256" s="10">
        <v>45664.340694444443</v>
      </c>
      <c r="J256" s="10">
        <v>45664.341631944437</v>
      </c>
      <c r="K256" s="11">
        <v>9.3749999999999997E-4</v>
      </c>
      <c r="L256" s="13"/>
    </row>
    <row r="257" spans="1:12" x14ac:dyDescent="0.45">
      <c r="A257" s="3" t="s">
        <v>839</v>
      </c>
      <c r="B257" s="3" t="s">
        <v>1127</v>
      </c>
      <c r="C257" s="3" t="s">
        <v>302</v>
      </c>
      <c r="D257" s="9">
        <v>144</v>
      </c>
      <c r="E257" s="3" t="s">
        <v>818</v>
      </c>
      <c r="F257" s="3" t="s">
        <v>840</v>
      </c>
      <c r="G257" s="9">
        <v>262.93</v>
      </c>
      <c r="H257" s="10">
        <v>45664.356793981482</v>
      </c>
      <c r="I257" s="10">
        <v>45664.356793981482</v>
      </c>
      <c r="J257" s="10">
        <v>45664.357673611114</v>
      </c>
      <c r="K257" s="11">
        <v>8.7962962962962962E-4</v>
      </c>
      <c r="L257" s="13"/>
    </row>
    <row r="258" spans="1:12" x14ac:dyDescent="0.45">
      <c r="A258" s="3" t="s">
        <v>839</v>
      </c>
      <c r="B258" s="3" t="s">
        <v>1128</v>
      </c>
      <c r="C258" s="3" t="s">
        <v>299</v>
      </c>
      <c r="D258" s="9">
        <v>144</v>
      </c>
      <c r="E258" s="3" t="s">
        <v>819</v>
      </c>
      <c r="F258" s="3" t="s">
        <v>840</v>
      </c>
      <c r="G258" s="9">
        <v>259.31</v>
      </c>
      <c r="H258" s="10">
        <v>45664.356851851851</v>
      </c>
      <c r="I258" s="10">
        <v>45664.357673611114</v>
      </c>
      <c r="J258" s="10">
        <v>45664.358541666668</v>
      </c>
      <c r="K258" s="11">
        <v>8.6805555555555551E-4</v>
      </c>
      <c r="L258" s="13"/>
    </row>
    <row r="259" spans="1:12" x14ac:dyDescent="0.45">
      <c r="A259" s="3" t="s">
        <v>839</v>
      </c>
      <c r="B259" s="3" t="s">
        <v>1129</v>
      </c>
      <c r="C259" s="3" t="s">
        <v>320</v>
      </c>
      <c r="D259" s="9">
        <v>128</v>
      </c>
      <c r="E259" s="3" t="s">
        <v>813</v>
      </c>
      <c r="F259" s="3" t="s">
        <v>840</v>
      </c>
      <c r="G259" s="9">
        <v>223.61</v>
      </c>
      <c r="H259" s="10">
        <v>45664.582673611112</v>
      </c>
      <c r="I259" s="10">
        <v>45664.582673611112</v>
      </c>
      <c r="J259" s="10">
        <v>45664.583437499998</v>
      </c>
      <c r="K259" s="11">
        <v>7.6388888888888893E-4</v>
      </c>
      <c r="L259" s="13"/>
    </row>
    <row r="260" spans="1:12" x14ac:dyDescent="0.45">
      <c r="A260" s="3" t="s">
        <v>839</v>
      </c>
      <c r="B260" s="3" t="s">
        <v>1130</v>
      </c>
      <c r="C260" s="3" t="s">
        <v>305</v>
      </c>
      <c r="D260" s="9">
        <v>176</v>
      </c>
      <c r="E260" s="3" t="s">
        <v>820</v>
      </c>
      <c r="F260" s="3" t="s">
        <v>840</v>
      </c>
      <c r="G260" s="9">
        <v>245</v>
      </c>
      <c r="H260" s="10">
        <v>45664.735798611109</v>
      </c>
      <c r="I260" s="10">
        <v>45664.735798611109</v>
      </c>
      <c r="J260" s="10">
        <v>45664.736712962957</v>
      </c>
      <c r="K260" s="11">
        <v>9.1435185185185185E-4</v>
      </c>
      <c r="L260" s="13"/>
    </row>
    <row r="261" spans="1:12" x14ac:dyDescent="0.45">
      <c r="A261" s="3" t="s">
        <v>839</v>
      </c>
      <c r="B261" s="3" t="s">
        <v>1131</v>
      </c>
      <c r="C261" s="3" t="s">
        <v>331</v>
      </c>
      <c r="D261" s="9">
        <v>128</v>
      </c>
      <c r="E261" s="3" t="s">
        <v>813</v>
      </c>
      <c r="F261" s="3" t="s">
        <v>840</v>
      </c>
      <c r="G261" s="9">
        <v>223.61</v>
      </c>
      <c r="H261" s="10">
        <v>45665.276712962957</v>
      </c>
      <c r="I261" s="10">
        <v>45665.276712962957</v>
      </c>
      <c r="J261" s="10">
        <v>45665.27747685185</v>
      </c>
      <c r="K261" s="11">
        <v>7.6388888888888893E-4</v>
      </c>
      <c r="L261" s="13"/>
    </row>
    <row r="262" spans="1:12" x14ac:dyDescent="0.45">
      <c r="A262" s="3" t="s">
        <v>839</v>
      </c>
      <c r="B262" s="3" t="s">
        <v>1132</v>
      </c>
      <c r="C262" s="3" t="s">
        <v>334</v>
      </c>
      <c r="D262" s="9">
        <v>128</v>
      </c>
      <c r="E262" s="3" t="s">
        <v>816</v>
      </c>
      <c r="F262" s="3" t="s">
        <v>840</v>
      </c>
      <c r="G262" s="9">
        <v>205.9</v>
      </c>
      <c r="H262" s="10">
        <v>45665.277673611112</v>
      </c>
      <c r="I262" s="10">
        <v>45665.277673611112</v>
      </c>
      <c r="J262" s="10">
        <v>45665.278402777767</v>
      </c>
      <c r="K262" s="11">
        <v>7.291666666666667E-4</v>
      </c>
      <c r="L262" s="13"/>
    </row>
    <row r="263" spans="1:12" x14ac:dyDescent="0.45">
      <c r="A263" s="3" t="s">
        <v>839</v>
      </c>
      <c r="B263" s="3" t="s">
        <v>1133</v>
      </c>
      <c r="C263" s="3" t="s">
        <v>355</v>
      </c>
      <c r="D263" s="9">
        <v>176</v>
      </c>
      <c r="E263" s="3" t="s">
        <v>817</v>
      </c>
      <c r="F263" s="3" t="s">
        <v>840</v>
      </c>
      <c r="G263" s="9">
        <v>240.31</v>
      </c>
      <c r="H263" s="10">
        <v>45665.42528935185</v>
      </c>
      <c r="I263" s="10">
        <v>45665.42528935185</v>
      </c>
      <c r="J263" s="10">
        <v>45665.426203703697</v>
      </c>
      <c r="K263" s="11">
        <v>9.1435185185185185E-4</v>
      </c>
      <c r="L263" s="13"/>
    </row>
    <row r="264" spans="1:12" x14ac:dyDescent="0.45">
      <c r="A264" s="3" t="s">
        <v>839</v>
      </c>
      <c r="B264" s="3" t="s">
        <v>1134</v>
      </c>
      <c r="C264" s="3" t="s">
        <v>345</v>
      </c>
      <c r="D264" s="9">
        <v>240</v>
      </c>
      <c r="E264" s="3" t="s">
        <v>815</v>
      </c>
      <c r="F264" s="3" t="s">
        <v>840</v>
      </c>
      <c r="G264" s="9">
        <v>286.14</v>
      </c>
      <c r="H264" s="10">
        <v>45665.446250000001</v>
      </c>
      <c r="I264" s="10">
        <v>45665.446250000001</v>
      </c>
      <c r="J264" s="10">
        <v>45665.447395833333</v>
      </c>
      <c r="K264" s="11">
        <v>1.1458333333333329E-3</v>
      </c>
      <c r="L264" s="13"/>
    </row>
    <row r="265" spans="1:12" x14ac:dyDescent="0.45">
      <c r="A265" s="3" t="s">
        <v>839</v>
      </c>
      <c r="B265" s="3" t="s">
        <v>1135</v>
      </c>
      <c r="C265" s="3" t="s">
        <v>378</v>
      </c>
      <c r="D265" s="9">
        <v>160</v>
      </c>
      <c r="E265" s="3" t="s">
        <v>819</v>
      </c>
      <c r="F265" s="3" t="s">
        <v>840</v>
      </c>
      <c r="G265" s="9">
        <v>259.31</v>
      </c>
      <c r="H265" s="10">
        <v>45665.457615740743</v>
      </c>
      <c r="I265" s="10">
        <v>45665.457615740743</v>
      </c>
      <c r="J265" s="10">
        <v>45665.45853009259</v>
      </c>
      <c r="K265" s="11">
        <v>9.1435185185185185E-4</v>
      </c>
      <c r="L265" s="13"/>
    </row>
    <row r="266" spans="1:12" x14ac:dyDescent="0.45">
      <c r="A266" s="3" t="s">
        <v>839</v>
      </c>
      <c r="B266" s="3" t="s">
        <v>1136</v>
      </c>
      <c r="C266" s="3" t="s">
        <v>385</v>
      </c>
      <c r="D266" s="9">
        <v>160</v>
      </c>
      <c r="E266" s="3" t="s">
        <v>818</v>
      </c>
      <c r="F266" s="3" t="s">
        <v>840</v>
      </c>
      <c r="G266" s="9">
        <v>262.93</v>
      </c>
      <c r="H266" s="10">
        <v>45665.475763888891</v>
      </c>
      <c r="I266" s="10">
        <v>45665.475763888891</v>
      </c>
      <c r="J266" s="10">
        <v>45665.476678240739</v>
      </c>
      <c r="K266" s="11">
        <v>9.1435185185185185E-4</v>
      </c>
      <c r="L266" s="13"/>
    </row>
    <row r="267" spans="1:12" x14ac:dyDescent="0.45">
      <c r="A267" s="3" t="s">
        <v>839</v>
      </c>
      <c r="B267" s="3" t="s">
        <v>1137</v>
      </c>
      <c r="C267" s="3" t="s">
        <v>375</v>
      </c>
      <c r="D267" s="9">
        <v>208</v>
      </c>
      <c r="E267" s="3" t="s">
        <v>816</v>
      </c>
      <c r="F267" s="3" t="s">
        <v>840</v>
      </c>
      <c r="G267" s="9">
        <v>205.9</v>
      </c>
      <c r="H267" s="10">
        <v>45665.492164351846</v>
      </c>
      <c r="I267" s="10">
        <v>45665.492164351846</v>
      </c>
      <c r="J267" s="10">
        <v>45665.493067129632</v>
      </c>
      <c r="K267" s="11">
        <v>9.0277777777777774E-4</v>
      </c>
      <c r="L267" s="13"/>
    </row>
    <row r="268" spans="1:12" x14ac:dyDescent="0.45">
      <c r="A268" s="3" t="s">
        <v>839</v>
      </c>
      <c r="B268" s="3" t="s">
        <v>1138</v>
      </c>
      <c r="C268" s="3" t="s">
        <v>398</v>
      </c>
      <c r="D268" s="9">
        <v>128</v>
      </c>
      <c r="E268" s="3" t="s">
        <v>820</v>
      </c>
      <c r="F268" s="3" t="s">
        <v>840</v>
      </c>
      <c r="G268" s="9">
        <v>245</v>
      </c>
      <c r="H268" s="10">
        <v>45665.634328703702</v>
      </c>
      <c r="I268" s="10">
        <v>45665.634328703702</v>
      </c>
      <c r="J268" s="10">
        <v>45665.635138888887</v>
      </c>
      <c r="K268" s="11">
        <v>8.1018518518518516E-4</v>
      </c>
      <c r="L268" s="13"/>
    </row>
    <row r="269" spans="1:12" x14ac:dyDescent="0.45">
      <c r="A269" s="3" t="s">
        <v>839</v>
      </c>
      <c r="B269" s="3" t="s">
        <v>1139</v>
      </c>
      <c r="C269" s="3" t="s">
        <v>358</v>
      </c>
      <c r="D269" s="9">
        <v>144</v>
      </c>
      <c r="E269" s="3" t="s">
        <v>813</v>
      </c>
      <c r="F269" s="3" t="s">
        <v>840</v>
      </c>
      <c r="G269" s="9">
        <v>223.61</v>
      </c>
      <c r="H269" s="10">
        <v>45665.6403587963</v>
      </c>
      <c r="I269" s="10">
        <v>45665.6403587963</v>
      </c>
      <c r="J269" s="10">
        <v>45665.641168981478</v>
      </c>
      <c r="K269" s="11">
        <v>8.1018518518518516E-4</v>
      </c>
      <c r="L269" s="13"/>
    </row>
    <row r="270" spans="1:12" x14ac:dyDescent="0.45">
      <c r="A270" s="3" t="s">
        <v>839</v>
      </c>
      <c r="B270" s="3" t="s">
        <v>1140</v>
      </c>
      <c r="C270" s="3" t="s">
        <v>407</v>
      </c>
      <c r="D270" s="9">
        <v>112</v>
      </c>
      <c r="E270" s="3" t="s">
        <v>813</v>
      </c>
      <c r="F270" s="3" t="s">
        <v>840</v>
      </c>
      <c r="G270" s="9">
        <v>223.61</v>
      </c>
      <c r="H270" s="10">
        <v>45665.78733796296</v>
      </c>
      <c r="I270" s="10">
        <v>45665.78733796296</v>
      </c>
      <c r="J270" s="10">
        <v>45665.78806712963</v>
      </c>
      <c r="K270" s="11">
        <v>7.291666666666667E-4</v>
      </c>
      <c r="L270" s="13"/>
    </row>
    <row r="271" spans="1:12" x14ac:dyDescent="0.45">
      <c r="A271" s="3" t="s">
        <v>839</v>
      </c>
      <c r="B271" s="3" t="s">
        <v>1141</v>
      </c>
      <c r="C271" s="3" t="s">
        <v>412</v>
      </c>
      <c r="D271" s="9">
        <v>256</v>
      </c>
      <c r="E271" s="3" t="s">
        <v>813</v>
      </c>
      <c r="F271" s="3" t="s">
        <v>840</v>
      </c>
      <c r="G271" s="9">
        <v>223.61</v>
      </c>
      <c r="H271" s="10">
        <v>45665.965208333328</v>
      </c>
      <c r="I271" s="10">
        <v>45665.965208333328</v>
      </c>
      <c r="J271" s="10">
        <v>45665.966261574067</v>
      </c>
      <c r="K271" s="11">
        <v>1.0532407407407411E-3</v>
      </c>
      <c r="L271" s="13"/>
    </row>
    <row r="272" spans="1:12" x14ac:dyDescent="0.45">
      <c r="A272" s="3" t="s">
        <v>839</v>
      </c>
      <c r="B272" s="3" t="s">
        <v>1142</v>
      </c>
      <c r="C272" s="3" t="s">
        <v>431</v>
      </c>
      <c r="D272" s="9">
        <v>176</v>
      </c>
      <c r="E272" s="3" t="s">
        <v>817</v>
      </c>
      <c r="F272" s="3" t="s">
        <v>840</v>
      </c>
      <c r="G272" s="9">
        <v>240.31</v>
      </c>
      <c r="H272" s="10">
        <v>45666.27002314815</v>
      </c>
      <c r="I272" s="10">
        <v>45666.27002314815</v>
      </c>
      <c r="J272" s="10">
        <v>45666.270925925928</v>
      </c>
      <c r="K272" s="11">
        <v>9.0277777777777774E-4</v>
      </c>
      <c r="L272" s="13"/>
    </row>
    <row r="273" spans="1:12" x14ac:dyDescent="0.45">
      <c r="A273" s="3" t="s">
        <v>839</v>
      </c>
      <c r="B273" s="3" t="s">
        <v>1143</v>
      </c>
      <c r="C273" s="3" t="s">
        <v>423</v>
      </c>
      <c r="D273" s="9">
        <v>144</v>
      </c>
      <c r="E273" s="3" t="s">
        <v>813</v>
      </c>
      <c r="F273" s="3" t="s">
        <v>840</v>
      </c>
      <c r="G273" s="9">
        <v>223.61</v>
      </c>
      <c r="H273" s="10">
        <v>45666.296759259261</v>
      </c>
      <c r="I273" s="10">
        <v>45666.296759259261</v>
      </c>
      <c r="J273" s="10">
        <v>45666.29755787037</v>
      </c>
      <c r="K273" s="11">
        <v>7.9861111111111116E-4</v>
      </c>
      <c r="L273" s="13"/>
    </row>
    <row r="274" spans="1:12" x14ac:dyDescent="0.45">
      <c r="A274" s="3" t="s">
        <v>839</v>
      </c>
      <c r="B274" s="3" t="s">
        <v>1144</v>
      </c>
      <c r="C274" s="3" t="s">
        <v>440</v>
      </c>
      <c r="D274" s="9">
        <v>224</v>
      </c>
      <c r="E274" s="3" t="s">
        <v>815</v>
      </c>
      <c r="F274" s="3" t="s">
        <v>840</v>
      </c>
      <c r="G274" s="9">
        <v>286.14</v>
      </c>
      <c r="H274" s="10">
        <v>45666.316666666673</v>
      </c>
      <c r="I274" s="10">
        <v>45666.316666666673</v>
      </c>
      <c r="J274" s="10">
        <v>45666.317777777767</v>
      </c>
      <c r="K274" s="11">
        <v>1.1111111111111109E-3</v>
      </c>
      <c r="L274" s="13"/>
    </row>
    <row r="275" spans="1:12" x14ac:dyDescent="0.45">
      <c r="A275" s="3" t="s">
        <v>839</v>
      </c>
      <c r="B275" s="3" t="s">
        <v>1145</v>
      </c>
      <c r="C275" s="3" t="s">
        <v>475</v>
      </c>
      <c r="D275" s="9">
        <v>128</v>
      </c>
      <c r="E275" s="3" t="s">
        <v>821</v>
      </c>
      <c r="F275" s="3" t="s">
        <v>840</v>
      </c>
      <c r="G275" s="9">
        <v>286.14</v>
      </c>
      <c r="H275" s="10">
        <v>45666.320717592593</v>
      </c>
      <c r="I275" s="10">
        <v>45666.320717592593</v>
      </c>
      <c r="J275" s="10">
        <v>45666.321608796286</v>
      </c>
      <c r="K275" s="11">
        <v>8.9120370370370373E-4</v>
      </c>
      <c r="L275" s="13"/>
    </row>
    <row r="276" spans="1:12" x14ac:dyDescent="0.45">
      <c r="A276" s="3" t="s">
        <v>839</v>
      </c>
      <c r="B276" s="3" t="s">
        <v>1146</v>
      </c>
      <c r="C276" s="3" t="s">
        <v>428</v>
      </c>
      <c r="D276" s="9">
        <v>240</v>
      </c>
      <c r="E276" s="3" t="s">
        <v>816</v>
      </c>
      <c r="F276" s="3" t="s">
        <v>840</v>
      </c>
      <c r="G276" s="9">
        <v>205.9</v>
      </c>
      <c r="H276" s="10">
        <v>45666.323773148149</v>
      </c>
      <c r="I276" s="10">
        <v>45666.323773148149</v>
      </c>
      <c r="J276" s="10">
        <v>45666.32476851852</v>
      </c>
      <c r="K276" s="11">
        <v>9.9537037037037042E-4</v>
      </c>
      <c r="L276" s="13"/>
    </row>
    <row r="277" spans="1:12" x14ac:dyDescent="0.45">
      <c r="A277" s="3" t="s">
        <v>839</v>
      </c>
      <c r="B277" s="3" t="s">
        <v>1147</v>
      </c>
      <c r="C277" s="3" t="s">
        <v>468</v>
      </c>
      <c r="D277" s="9">
        <v>160</v>
      </c>
      <c r="E277" s="3" t="s">
        <v>819</v>
      </c>
      <c r="F277" s="3" t="s">
        <v>840</v>
      </c>
      <c r="G277" s="9">
        <v>259.31</v>
      </c>
      <c r="H277" s="10">
        <v>45666.346134259264</v>
      </c>
      <c r="I277" s="10">
        <v>45666.346134259264</v>
      </c>
      <c r="J277" s="10">
        <v>45666.347048611111</v>
      </c>
      <c r="K277" s="11">
        <v>9.1435185185185185E-4</v>
      </c>
      <c r="L277" s="13"/>
    </row>
    <row r="278" spans="1:12" x14ac:dyDescent="0.45">
      <c r="A278" s="3" t="s">
        <v>839</v>
      </c>
      <c r="B278" s="3" t="s">
        <v>1148</v>
      </c>
      <c r="C278" s="3" t="s">
        <v>483</v>
      </c>
      <c r="D278" s="9">
        <v>128</v>
      </c>
      <c r="E278" s="3" t="s">
        <v>817</v>
      </c>
      <c r="F278" s="3" t="s">
        <v>840</v>
      </c>
      <c r="G278" s="9">
        <v>240.31</v>
      </c>
      <c r="H278" s="10">
        <v>45666.499282407407</v>
      </c>
      <c r="I278" s="10">
        <v>45666.499282407407</v>
      </c>
      <c r="J278" s="10">
        <v>45666.500081018523</v>
      </c>
      <c r="K278" s="11">
        <v>7.9861111111111116E-4</v>
      </c>
      <c r="L278" s="13"/>
    </row>
    <row r="279" spans="1:12" x14ac:dyDescent="0.45">
      <c r="A279" s="3" t="s">
        <v>839</v>
      </c>
      <c r="B279" s="3" t="s">
        <v>1149</v>
      </c>
      <c r="C279" s="3" t="s">
        <v>490</v>
      </c>
      <c r="D279" s="9">
        <v>208</v>
      </c>
      <c r="E279" s="3" t="s">
        <v>813</v>
      </c>
      <c r="F279" s="3" t="s">
        <v>840</v>
      </c>
      <c r="G279" s="9">
        <v>223.61</v>
      </c>
      <c r="H279" s="10">
        <v>45666.521516203713</v>
      </c>
      <c r="I279" s="10">
        <v>45666.521516203713</v>
      </c>
      <c r="J279" s="10">
        <v>45666.522465277783</v>
      </c>
      <c r="K279" s="11">
        <v>9.4907407407407408E-4</v>
      </c>
      <c r="L279" s="13"/>
    </row>
    <row r="280" spans="1:12" x14ac:dyDescent="0.45">
      <c r="A280" s="3" t="s">
        <v>839</v>
      </c>
      <c r="B280" s="3" t="s">
        <v>1150</v>
      </c>
      <c r="C280" s="3" t="s">
        <v>507</v>
      </c>
      <c r="D280" s="9">
        <v>208</v>
      </c>
      <c r="E280" s="3" t="s">
        <v>817</v>
      </c>
      <c r="F280" s="3" t="s">
        <v>840</v>
      </c>
      <c r="G280" s="9">
        <v>240.31</v>
      </c>
      <c r="H280" s="10">
        <v>45666.602337962962</v>
      </c>
      <c r="I280" s="10">
        <v>45666.602337962962</v>
      </c>
      <c r="J280" s="10">
        <v>45666.603321759263</v>
      </c>
      <c r="K280" s="11">
        <v>9.837962962962962E-4</v>
      </c>
      <c r="L280" s="13"/>
    </row>
    <row r="281" spans="1:12" x14ac:dyDescent="0.45">
      <c r="A281" s="3" t="s">
        <v>839</v>
      </c>
      <c r="B281" s="3" t="s">
        <v>1151</v>
      </c>
      <c r="C281" s="3" t="s">
        <v>461</v>
      </c>
      <c r="D281" s="9">
        <v>144</v>
      </c>
      <c r="E281" s="3" t="s">
        <v>818</v>
      </c>
      <c r="F281" s="3" t="s">
        <v>840</v>
      </c>
      <c r="G281" s="9">
        <v>262.93</v>
      </c>
      <c r="H281" s="10">
        <v>45666.602708333332</v>
      </c>
      <c r="I281" s="10">
        <v>45666.603321759263</v>
      </c>
      <c r="J281" s="10">
        <v>45666.604201388887</v>
      </c>
      <c r="K281" s="11">
        <v>8.7962962962962962E-4</v>
      </c>
      <c r="L281" s="13"/>
    </row>
    <row r="282" spans="1:12" x14ac:dyDescent="0.45">
      <c r="A282" s="3" t="s">
        <v>839</v>
      </c>
      <c r="B282" s="3" t="s">
        <v>1152</v>
      </c>
      <c r="C282" s="3" t="s">
        <v>502</v>
      </c>
      <c r="D282" s="9">
        <v>176</v>
      </c>
      <c r="E282" s="3" t="s">
        <v>813</v>
      </c>
      <c r="F282" s="3" t="s">
        <v>840</v>
      </c>
      <c r="G282" s="9">
        <v>223.61</v>
      </c>
      <c r="H282" s="10">
        <v>45666.602743055562</v>
      </c>
      <c r="I282" s="10">
        <v>45666.604201388887</v>
      </c>
      <c r="J282" s="10">
        <v>45666.605081018519</v>
      </c>
      <c r="K282" s="11">
        <v>8.7962962962962962E-4</v>
      </c>
      <c r="L282" s="13"/>
    </row>
    <row r="283" spans="1:12" x14ac:dyDescent="0.45">
      <c r="A283" s="3" t="s">
        <v>839</v>
      </c>
      <c r="B283" s="3" t="s">
        <v>1153</v>
      </c>
      <c r="C283" s="3" t="s">
        <v>495</v>
      </c>
      <c r="D283" s="9">
        <v>112</v>
      </c>
      <c r="E283" s="3" t="s">
        <v>816</v>
      </c>
      <c r="F283" s="3" t="s">
        <v>840</v>
      </c>
      <c r="G283" s="9">
        <v>205.9</v>
      </c>
      <c r="H283" s="10">
        <v>45666.623888888891</v>
      </c>
      <c r="I283" s="10">
        <v>45666.623888888891</v>
      </c>
      <c r="J283" s="10">
        <v>45666.624583333331</v>
      </c>
      <c r="K283" s="11">
        <v>6.9444444444444447E-4</v>
      </c>
      <c r="L283" s="13"/>
    </row>
    <row r="284" spans="1:12" x14ac:dyDescent="0.45">
      <c r="A284" s="3" t="s">
        <v>839</v>
      </c>
      <c r="B284" s="3" t="s">
        <v>1154</v>
      </c>
      <c r="C284" s="3" t="s">
        <v>530</v>
      </c>
      <c r="D284" s="9">
        <v>112</v>
      </c>
      <c r="E284" s="3" t="s">
        <v>821</v>
      </c>
      <c r="F284" s="3" t="s">
        <v>840</v>
      </c>
      <c r="G284" s="9">
        <v>286.14</v>
      </c>
      <c r="H284" s="10">
        <v>45666.640914351847</v>
      </c>
      <c r="I284" s="10">
        <v>45666.640914351847</v>
      </c>
      <c r="J284" s="10">
        <v>45666.641759259262</v>
      </c>
      <c r="K284" s="11">
        <v>8.4490740740740739E-4</v>
      </c>
      <c r="L284" s="13"/>
    </row>
    <row r="285" spans="1:12" x14ac:dyDescent="0.45">
      <c r="A285" s="3" t="s">
        <v>839</v>
      </c>
      <c r="B285" s="3" t="s">
        <v>1155</v>
      </c>
      <c r="C285" s="3" t="s">
        <v>527</v>
      </c>
      <c r="D285" s="9">
        <v>144</v>
      </c>
      <c r="E285" s="3" t="s">
        <v>819</v>
      </c>
      <c r="F285" s="3" t="s">
        <v>840</v>
      </c>
      <c r="G285" s="9">
        <v>259.31</v>
      </c>
      <c r="H285" s="10">
        <v>45666.641261574077</v>
      </c>
      <c r="I285" s="10">
        <v>45666.641759259262</v>
      </c>
      <c r="J285" s="10">
        <v>45666.642638888887</v>
      </c>
      <c r="K285" s="11">
        <v>8.7962962962962962E-4</v>
      </c>
      <c r="L285" s="13"/>
    </row>
    <row r="286" spans="1:12" x14ac:dyDescent="0.45">
      <c r="A286" s="3" t="s">
        <v>839</v>
      </c>
      <c r="B286" s="3" t="s">
        <v>1156</v>
      </c>
      <c r="C286" s="3" t="s">
        <v>535</v>
      </c>
      <c r="D286" s="9">
        <v>128</v>
      </c>
      <c r="E286" s="3" t="s">
        <v>822</v>
      </c>
      <c r="F286" s="3" t="s">
        <v>840</v>
      </c>
      <c r="G286" s="9">
        <v>259.16000000000003</v>
      </c>
      <c r="H286" s="10">
        <v>45666.647847222222</v>
      </c>
      <c r="I286" s="10">
        <v>45666.647847222222</v>
      </c>
      <c r="J286" s="10">
        <v>45666.648680555547</v>
      </c>
      <c r="K286" s="11">
        <v>8.3333333333333339E-4</v>
      </c>
      <c r="L286" s="13"/>
    </row>
    <row r="287" spans="1:12" x14ac:dyDescent="0.45">
      <c r="A287" s="3" t="s">
        <v>839</v>
      </c>
      <c r="B287" s="3" t="s">
        <v>1157</v>
      </c>
      <c r="C287" s="3" t="s">
        <v>542</v>
      </c>
      <c r="D287" s="9">
        <v>144</v>
      </c>
      <c r="E287" s="3" t="s">
        <v>813</v>
      </c>
      <c r="F287" s="3" t="s">
        <v>840</v>
      </c>
      <c r="G287" s="9">
        <v>223.61</v>
      </c>
      <c r="H287" s="10">
        <v>45666.841643518521</v>
      </c>
      <c r="I287" s="10">
        <v>45666.841643518521</v>
      </c>
      <c r="J287" s="10">
        <v>45666.842442129629</v>
      </c>
      <c r="K287" s="11">
        <v>7.9861111111111116E-4</v>
      </c>
      <c r="L287" s="13"/>
    </row>
    <row r="288" spans="1:12" x14ac:dyDescent="0.45">
      <c r="A288" s="3" t="s">
        <v>839</v>
      </c>
      <c r="B288" s="3" t="s">
        <v>1158</v>
      </c>
      <c r="C288" s="3" t="s">
        <v>547</v>
      </c>
      <c r="D288" s="9">
        <v>176</v>
      </c>
      <c r="E288" s="3" t="s">
        <v>816</v>
      </c>
      <c r="F288" s="3" t="s">
        <v>840</v>
      </c>
      <c r="G288" s="9">
        <v>205.9</v>
      </c>
      <c r="H288" s="10">
        <v>45666.85497685185</v>
      </c>
      <c r="I288" s="10">
        <v>45666.85497685185</v>
      </c>
      <c r="J288" s="10">
        <v>45666.855821759258</v>
      </c>
      <c r="K288" s="11">
        <v>8.4490740740740739E-4</v>
      </c>
      <c r="L288" s="13"/>
    </row>
    <row r="289" spans="1:12" x14ac:dyDescent="0.45">
      <c r="A289" s="3" t="s">
        <v>839</v>
      </c>
      <c r="B289" s="3" t="s">
        <v>1159</v>
      </c>
      <c r="C289" s="3" t="s">
        <v>522</v>
      </c>
      <c r="D289" s="9">
        <v>192</v>
      </c>
      <c r="E289" s="3" t="s">
        <v>815</v>
      </c>
      <c r="F289" s="3" t="s">
        <v>840</v>
      </c>
      <c r="G289" s="9">
        <v>286.14</v>
      </c>
      <c r="H289" s="10">
        <v>45666.991655092592</v>
      </c>
      <c r="I289" s="10">
        <v>45666.991655092592</v>
      </c>
      <c r="J289" s="10">
        <v>45666.992696759262</v>
      </c>
      <c r="K289" s="11">
        <v>1.0416666666666671E-3</v>
      </c>
      <c r="L289" s="13"/>
    </row>
    <row r="290" spans="1:12" x14ac:dyDescent="0.45">
      <c r="A290" s="3" t="s">
        <v>839</v>
      </c>
      <c r="B290" s="3" t="s">
        <v>1160</v>
      </c>
      <c r="C290" s="3" t="s">
        <v>351</v>
      </c>
      <c r="D290" s="9">
        <v>128</v>
      </c>
      <c r="E290" s="3" t="s">
        <v>814</v>
      </c>
      <c r="F290" s="3" t="s">
        <v>840</v>
      </c>
      <c r="G290" s="9">
        <v>188.33</v>
      </c>
      <c r="H290" s="10">
        <v>45667.360682870371</v>
      </c>
      <c r="I290" s="10">
        <v>45667.360682870371</v>
      </c>
      <c r="J290" s="10">
        <v>45667.361377314817</v>
      </c>
      <c r="K290" s="11">
        <v>6.9444444444444447E-4</v>
      </c>
      <c r="L290" s="13"/>
    </row>
    <row r="291" spans="1:12" x14ac:dyDescent="0.45">
      <c r="A291" s="3" t="s">
        <v>839</v>
      </c>
      <c r="B291" s="3" t="s">
        <v>1161</v>
      </c>
      <c r="C291" s="3" t="s">
        <v>567</v>
      </c>
      <c r="D291" s="9">
        <v>144</v>
      </c>
      <c r="E291" s="3" t="s">
        <v>813</v>
      </c>
      <c r="F291" s="3" t="s">
        <v>840</v>
      </c>
      <c r="G291" s="9">
        <v>223.61</v>
      </c>
      <c r="H291" s="10">
        <v>45667.425069444442</v>
      </c>
      <c r="I291" s="10">
        <v>45667.425069444442</v>
      </c>
      <c r="J291" s="10">
        <v>45667.425868055558</v>
      </c>
      <c r="K291" s="11">
        <v>7.9861111111111116E-4</v>
      </c>
      <c r="L291" s="13"/>
    </row>
    <row r="292" spans="1:12" x14ac:dyDescent="0.45">
      <c r="A292" s="3" t="s">
        <v>839</v>
      </c>
      <c r="B292" s="3" t="s">
        <v>1162</v>
      </c>
      <c r="C292" s="3" t="s">
        <v>597</v>
      </c>
      <c r="D292" s="9">
        <v>128</v>
      </c>
      <c r="E292" s="3" t="s">
        <v>813</v>
      </c>
      <c r="F292" s="3" t="s">
        <v>840</v>
      </c>
      <c r="G292" s="9">
        <v>223.61</v>
      </c>
      <c r="H292" s="10">
        <v>45667.590289351851</v>
      </c>
      <c r="I292" s="10">
        <v>45667.590289351851</v>
      </c>
      <c r="J292" s="10">
        <v>45667.591053240743</v>
      </c>
      <c r="K292" s="11">
        <v>7.6388888888888893E-4</v>
      </c>
      <c r="L292" s="13"/>
    </row>
    <row r="293" spans="1:12" x14ac:dyDescent="0.45">
      <c r="A293" s="3" t="s">
        <v>839</v>
      </c>
      <c r="B293" s="3" t="s">
        <v>1163</v>
      </c>
      <c r="C293" s="3" t="s">
        <v>580</v>
      </c>
      <c r="D293" s="9">
        <v>128</v>
      </c>
      <c r="E293" s="3" t="s">
        <v>819</v>
      </c>
      <c r="F293" s="3" t="s">
        <v>840</v>
      </c>
      <c r="G293" s="9">
        <v>259.31</v>
      </c>
      <c r="H293" s="10">
        <v>45667.592685185176</v>
      </c>
      <c r="I293" s="10">
        <v>45667.592685185176</v>
      </c>
      <c r="J293" s="10">
        <v>45667.593518518523</v>
      </c>
      <c r="K293" s="11">
        <v>8.3333333333333339E-4</v>
      </c>
      <c r="L293" s="13"/>
    </row>
    <row r="294" spans="1:12" x14ac:dyDescent="0.45">
      <c r="A294" s="3" t="s">
        <v>839</v>
      </c>
      <c r="B294" s="3" t="s">
        <v>1164</v>
      </c>
      <c r="C294" s="3" t="s">
        <v>552</v>
      </c>
      <c r="D294" s="9">
        <v>176</v>
      </c>
      <c r="E294" s="3" t="s">
        <v>817</v>
      </c>
      <c r="F294" s="3" t="s">
        <v>840</v>
      </c>
      <c r="G294" s="9">
        <v>240.31</v>
      </c>
      <c r="H294" s="10">
        <v>45667.605706018519</v>
      </c>
      <c r="I294" s="10">
        <v>45667.605706018519</v>
      </c>
      <c r="J294" s="10">
        <v>45667.606608796297</v>
      </c>
      <c r="K294" s="11">
        <v>9.0277777777777774E-4</v>
      </c>
      <c r="L294" s="13"/>
    </row>
    <row r="295" spans="1:12" x14ac:dyDescent="0.45">
      <c r="A295" s="3" t="s">
        <v>839</v>
      </c>
      <c r="B295" s="3" t="s">
        <v>1165</v>
      </c>
      <c r="C295" s="3" t="s">
        <v>594</v>
      </c>
      <c r="D295" s="9">
        <v>128</v>
      </c>
      <c r="E295" s="3" t="s">
        <v>818</v>
      </c>
      <c r="F295" s="3" t="s">
        <v>840</v>
      </c>
      <c r="G295" s="9">
        <v>262.93</v>
      </c>
      <c r="H295" s="10">
        <v>45667.614212962973</v>
      </c>
      <c r="I295" s="10">
        <v>45667.614212962973</v>
      </c>
      <c r="J295" s="10">
        <v>45667.615057870367</v>
      </c>
      <c r="K295" s="11">
        <v>8.4490740740740739E-4</v>
      </c>
      <c r="L295" s="13"/>
    </row>
    <row r="296" spans="1:12" x14ac:dyDescent="0.45">
      <c r="A296" s="3" t="s">
        <v>839</v>
      </c>
      <c r="B296" s="3" t="s">
        <v>1166</v>
      </c>
      <c r="C296" s="3" t="s">
        <v>577</v>
      </c>
      <c r="D296" s="9">
        <v>176</v>
      </c>
      <c r="E296" s="3" t="s">
        <v>815</v>
      </c>
      <c r="F296" s="3" t="s">
        <v>840</v>
      </c>
      <c r="G296" s="9">
        <v>286.14</v>
      </c>
      <c r="H296" s="10">
        <v>45667.624976851846</v>
      </c>
      <c r="I296" s="10">
        <v>45667.624976851846</v>
      </c>
      <c r="J296" s="10">
        <v>45667.625972222217</v>
      </c>
      <c r="K296" s="11">
        <v>9.9537037037037042E-4</v>
      </c>
      <c r="L296" s="13"/>
    </row>
    <row r="297" spans="1:12" x14ac:dyDescent="0.45">
      <c r="A297" s="3" t="s">
        <v>839</v>
      </c>
      <c r="B297" s="3" t="s">
        <v>1167</v>
      </c>
      <c r="C297" s="3" t="s">
        <v>570</v>
      </c>
      <c r="D297" s="9">
        <v>128</v>
      </c>
      <c r="E297" s="3" t="s">
        <v>816</v>
      </c>
      <c r="F297" s="3" t="s">
        <v>840</v>
      </c>
      <c r="G297" s="9">
        <v>205.9</v>
      </c>
      <c r="H297" s="10">
        <v>45667.66878472222</v>
      </c>
      <c r="I297" s="10">
        <v>45667.66878472222</v>
      </c>
      <c r="J297" s="10">
        <v>45667.66951388889</v>
      </c>
      <c r="K297" s="11">
        <v>7.291666666666667E-4</v>
      </c>
      <c r="L297" s="13"/>
    </row>
    <row r="298" spans="1:12" x14ac:dyDescent="0.45">
      <c r="A298" s="3" t="s">
        <v>839</v>
      </c>
      <c r="B298" s="3" t="s">
        <v>1168</v>
      </c>
      <c r="C298" s="3" t="s">
        <v>624</v>
      </c>
      <c r="D298" s="9">
        <v>128</v>
      </c>
      <c r="E298" s="3" t="s">
        <v>817</v>
      </c>
      <c r="F298" s="3" t="s">
        <v>840</v>
      </c>
      <c r="G298" s="9">
        <v>240.31</v>
      </c>
      <c r="H298" s="10">
        <v>45667.675694444442</v>
      </c>
      <c r="I298" s="10">
        <v>45667.675694444442</v>
      </c>
      <c r="J298" s="10">
        <v>45667.676493055558</v>
      </c>
      <c r="K298" s="11">
        <v>7.9861111111111116E-4</v>
      </c>
      <c r="L298" s="13"/>
    </row>
    <row r="299" spans="1:12" x14ac:dyDescent="0.45">
      <c r="A299" s="3" t="s">
        <v>839</v>
      </c>
      <c r="B299" s="3" t="s">
        <v>1169</v>
      </c>
      <c r="C299" s="3" t="s">
        <v>629</v>
      </c>
      <c r="D299" s="9">
        <v>160</v>
      </c>
      <c r="E299" s="3" t="s">
        <v>815</v>
      </c>
      <c r="F299" s="3" t="s">
        <v>840</v>
      </c>
      <c r="G299" s="9">
        <v>286.14</v>
      </c>
      <c r="H299" s="10">
        <v>45667.705590277779</v>
      </c>
      <c r="I299" s="10">
        <v>45667.705590277779</v>
      </c>
      <c r="J299" s="10">
        <v>45667.706550925926</v>
      </c>
      <c r="K299" s="11">
        <v>9.6064814814814819E-4</v>
      </c>
      <c r="L299" s="13"/>
    </row>
    <row r="300" spans="1:12" x14ac:dyDescent="0.45">
      <c r="A300" s="3" t="s">
        <v>839</v>
      </c>
      <c r="B300" s="3" t="s">
        <v>1170</v>
      </c>
      <c r="C300" s="3" t="s">
        <v>478</v>
      </c>
      <c r="D300" s="9">
        <v>160</v>
      </c>
      <c r="E300" s="3" t="s">
        <v>820</v>
      </c>
      <c r="F300" s="3" t="s">
        <v>840</v>
      </c>
      <c r="G300" s="9">
        <v>245</v>
      </c>
      <c r="H300" s="10">
        <v>45667.732048611113</v>
      </c>
      <c r="I300" s="10">
        <v>45667.732048611113</v>
      </c>
      <c r="J300" s="10">
        <v>45667.732928240737</v>
      </c>
      <c r="K300" s="11">
        <v>8.7962962962962962E-4</v>
      </c>
      <c r="L300" s="13"/>
    </row>
    <row r="301" spans="1:12" x14ac:dyDescent="0.45">
      <c r="A301" s="3" t="s">
        <v>839</v>
      </c>
      <c r="B301" s="3" t="s">
        <v>1171</v>
      </c>
      <c r="C301" s="3" t="s">
        <v>606</v>
      </c>
      <c r="D301" s="9">
        <v>176</v>
      </c>
      <c r="E301" s="3" t="s">
        <v>821</v>
      </c>
      <c r="F301" s="3" t="s">
        <v>840</v>
      </c>
      <c r="G301" s="9">
        <v>286.14</v>
      </c>
      <c r="H301" s="10">
        <v>45667.736967592587</v>
      </c>
      <c r="I301" s="10">
        <v>45667.736967592587</v>
      </c>
      <c r="J301" s="10">
        <v>45667.737962962958</v>
      </c>
      <c r="K301" s="11">
        <v>9.9537037037037042E-4</v>
      </c>
      <c r="L301" s="13"/>
    </row>
    <row r="302" spans="1:12" x14ac:dyDescent="0.45">
      <c r="A302" s="3" t="s">
        <v>839</v>
      </c>
      <c r="B302" s="3" t="s">
        <v>1172</v>
      </c>
      <c r="C302" s="3" t="s">
        <v>619</v>
      </c>
      <c r="D302" s="9">
        <v>112</v>
      </c>
      <c r="E302" s="3" t="s">
        <v>813</v>
      </c>
      <c r="F302" s="3" t="s">
        <v>840</v>
      </c>
      <c r="G302" s="9">
        <v>223.61</v>
      </c>
      <c r="H302" s="10">
        <v>45668.29724537037</v>
      </c>
      <c r="I302" s="10">
        <v>45668.29724537037</v>
      </c>
      <c r="J302" s="10">
        <v>45668.297962962963</v>
      </c>
      <c r="K302" s="11">
        <v>7.1759259259259259E-4</v>
      </c>
      <c r="L302" s="13"/>
    </row>
    <row r="303" spans="1:12" x14ac:dyDescent="0.45">
      <c r="A303" s="3" t="s">
        <v>839</v>
      </c>
      <c r="B303" s="3" t="s">
        <v>1173</v>
      </c>
      <c r="C303" s="3" t="s">
        <v>660</v>
      </c>
      <c r="D303" s="9">
        <v>144</v>
      </c>
      <c r="E303" s="3" t="s">
        <v>818</v>
      </c>
      <c r="F303" s="3" t="s">
        <v>840</v>
      </c>
      <c r="G303" s="9">
        <v>262.93</v>
      </c>
      <c r="H303" s="10">
        <v>45668.298414351862</v>
      </c>
      <c r="I303" s="10">
        <v>45668.298414351862</v>
      </c>
      <c r="J303" s="10">
        <v>45668.299293981479</v>
      </c>
      <c r="K303" s="11">
        <v>8.7962962962962962E-4</v>
      </c>
      <c r="L303" s="13"/>
    </row>
    <row r="304" spans="1:12" x14ac:dyDescent="0.45">
      <c r="A304" s="3" t="s">
        <v>839</v>
      </c>
      <c r="B304" s="3" t="s">
        <v>1174</v>
      </c>
      <c r="C304" s="3" t="s">
        <v>674</v>
      </c>
      <c r="D304" s="9">
        <v>176</v>
      </c>
      <c r="E304" s="3" t="s">
        <v>821</v>
      </c>
      <c r="F304" s="3" t="s">
        <v>840</v>
      </c>
      <c r="G304" s="9">
        <v>286.14</v>
      </c>
      <c r="H304" s="10">
        <v>45668.32675925926</v>
      </c>
      <c r="I304" s="10">
        <v>45668.32675925926</v>
      </c>
      <c r="J304" s="10">
        <v>45668.327766203707</v>
      </c>
      <c r="K304" s="11">
        <v>1.006944444444444E-3</v>
      </c>
      <c r="L304" s="13"/>
    </row>
    <row r="305" spans="1:12" x14ac:dyDescent="0.45">
      <c r="A305" s="3" t="s">
        <v>839</v>
      </c>
      <c r="B305" s="3" t="s">
        <v>1175</v>
      </c>
      <c r="C305" s="3" t="s">
        <v>657</v>
      </c>
      <c r="D305" s="9">
        <v>176</v>
      </c>
      <c r="E305" s="3" t="s">
        <v>819</v>
      </c>
      <c r="F305" s="3" t="s">
        <v>840</v>
      </c>
      <c r="G305" s="9">
        <v>259.31</v>
      </c>
      <c r="H305" s="10">
        <v>45668.33871527778</v>
      </c>
      <c r="I305" s="10">
        <v>45668.33871527778</v>
      </c>
      <c r="J305" s="10">
        <v>45668.33965277778</v>
      </c>
      <c r="K305" s="11">
        <v>9.3749999999999997E-4</v>
      </c>
      <c r="L305" s="13"/>
    </row>
    <row r="306" spans="1:12" x14ac:dyDescent="0.45">
      <c r="A306" s="3" t="s">
        <v>839</v>
      </c>
      <c r="B306" s="3" t="s">
        <v>1176</v>
      </c>
      <c r="C306" s="3" t="s">
        <v>649</v>
      </c>
      <c r="D306" s="9">
        <v>128</v>
      </c>
      <c r="E306" s="3" t="s">
        <v>817</v>
      </c>
      <c r="F306" s="3" t="s">
        <v>840</v>
      </c>
      <c r="G306" s="9">
        <v>240.31</v>
      </c>
      <c r="H306" s="10">
        <v>45668.348541666674</v>
      </c>
      <c r="I306" s="10">
        <v>45668.348541666674</v>
      </c>
      <c r="J306" s="10">
        <v>45668.349340277768</v>
      </c>
      <c r="K306" s="11">
        <v>7.9861111111111116E-4</v>
      </c>
      <c r="L306" s="13"/>
    </row>
    <row r="307" spans="1:12" x14ac:dyDescent="0.45">
      <c r="A307" s="3" t="s">
        <v>839</v>
      </c>
      <c r="B307" s="3" t="s">
        <v>1177</v>
      </c>
      <c r="C307" s="3" t="s">
        <v>642</v>
      </c>
      <c r="D307" s="9">
        <v>128</v>
      </c>
      <c r="E307" s="3" t="s">
        <v>816</v>
      </c>
      <c r="F307" s="3" t="s">
        <v>840</v>
      </c>
      <c r="G307" s="9">
        <v>205.9</v>
      </c>
      <c r="H307" s="10">
        <v>45668.538240740738</v>
      </c>
      <c r="I307" s="10">
        <v>45668.538240740738</v>
      </c>
      <c r="J307" s="10">
        <v>45668.538958333331</v>
      </c>
      <c r="K307" s="11">
        <v>7.1759259259259259E-4</v>
      </c>
      <c r="L307" s="13"/>
    </row>
    <row r="308" spans="1:12" x14ac:dyDescent="0.45">
      <c r="A308" s="3" t="s">
        <v>839</v>
      </c>
      <c r="B308" s="3" t="s">
        <v>1178</v>
      </c>
      <c r="C308" s="3" t="s">
        <v>654</v>
      </c>
      <c r="D308" s="9">
        <v>160</v>
      </c>
      <c r="E308" s="3" t="s">
        <v>815</v>
      </c>
      <c r="F308" s="3" t="s">
        <v>840</v>
      </c>
      <c r="G308" s="9">
        <v>286.14</v>
      </c>
      <c r="H308" s="10">
        <v>45668.563368055547</v>
      </c>
      <c r="I308" s="10">
        <v>45668.563368055547</v>
      </c>
      <c r="J308" s="10">
        <v>45668.564328703702</v>
      </c>
      <c r="K308" s="11">
        <v>9.6064814814814819E-4</v>
      </c>
      <c r="L308" s="13"/>
    </row>
    <row r="309" spans="1:12" x14ac:dyDescent="0.45">
      <c r="A309" s="3" t="s">
        <v>839</v>
      </c>
      <c r="B309" s="3" t="s">
        <v>1179</v>
      </c>
      <c r="C309" s="3" t="s">
        <v>591</v>
      </c>
      <c r="D309" s="9">
        <v>144</v>
      </c>
      <c r="E309" s="3" t="s">
        <v>814</v>
      </c>
      <c r="F309" s="3" t="s">
        <v>840</v>
      </c>
      <c r="G309" s="9">
        <v>188.33</v>
      </c>
      <c r="H309" s="10">
        <v>45668.56962962963</v>
      </c>
      <c r="I309" s="10">
        <v>45668.56962962963</v>
      </c>
      <c r="J309" s="10">
        <v>45668.5703587963</v>
      </c>
      <c r="K309" s="11">
        <v>7.291666666666667E-4</v>
      </c>
      <c r="L309" s="13"/>
    </row>
    <row r="310" spans="1:12" x14ac:dyDescent="0.45">
      <c r="A310" s="3" t="s">
        <v>839</v>
      </c>
      <c r="B310" s="3" t="s">
        <v>1180</v>
      </c>
      <c r="C310" s="3" t="s">
        <v>693</v>
      </c>
      <c r="D310" s="9">
        <v>160</v>
      </c>
      <c r="E310" s="3" t="s">
        <v>813</v>
      </c>
      <c r="F310" s="3" t="s">
        <v>840</v>
      </c>
      <c r="G310" s="9">
        <v>223.61</v>
      </c>
      <c r="H310" s="10">
        <v>45668.574247685188</v>
      </c>
      <c r="I310" s="10">
        <v>45668.574247685188</v>
      </c>
      <c r="J310" s="10">
        <v>45668.575092592589</v>
      </c>
      <c r="K310" s="11">
        <v>8.4490740740740739E-4</v>
      </c>
      <c r="L310" s="13"/>
    </row>
    <row r="311" spans="1:12" x14ac:dyDescent="0.45">
      <c r="A311" s="3" t="s">
        <v>839</v>
      </c>
      <c r="B311" s="3" t="s">
        <v>1181</v>
      </c>
      <c r="C311" s="3" t="s">
        <v>696</v>
      </c>
      <c r="D311" s="9">
        <v>112</v>
      </c>
      <c r="E311" s="3" t="s">
        <v>817</v>
      </c>
      <c r="F311" s="3" t="s">
        <v>840</v>
      </c>
      <c r="G311" s="9">
        <v>240.31</v>
      </c>
      <c r="H311" s="10">
        <v>45668.595370370371</v>
      </c>
      <c r="I311" s="10">
        <v>45668.595370370371</v>
      </c>
      <c r="J311" s="10">
        <v>45668.596134259264</v>
      </c>
      <c r="K311" s="11">
        <v>7.6388888888888893E-4</v>
      </c>
      <c r="L311" s="13"/>
    </row>
    <row r="312" spans="1:12" x14ac:dyDescent="0.45">
      <c r="A312" s="3" t="s">
        <v>839</v>
      </c>
      <c r="B312" s="3" t="s">
        <v>1182</v>
      </c>
      <c r="C312" s="3" t="s">
        <v>718</v>
      </c>
      <c r="D312" s="9">
        <v>176</v>
      </c>
      <c r="E312" s="3" t="s">
        <v>818</v>
      </c>
      <c r="F312" s="3" t="s">
        <v>840</v>
      </c>
      <c r="G312" s="9">
        <v>262.93</v>
      </c>
      <c r="H312" s="10">
        <v>45668.61582175926</v>
      </c>
      <c r="I312" s="10">
        <v>45668.61582175926</v>
      </c>
      <c r="J312" s="10">
        <v>45668.616770833331</v>
      </c>
      <c r="K312" s="11">
        <v>9.4907407407407408E-4</v>
      </c>
      <c r="L312" s="13"/>
    </row>
    <row r="313" spans="1:12" x14ac:dyDescent="0.45">
      <c r="A313" s="3" t="s">
        <v>839</v>
      </c>
      <c r="B313" s="3" t="s">
        <v>1183</v>
      </c>
      <c r="C313" s="3" t="s">
        <v>728</v>
      </c>
      <c r="D313" s="9">
        <v>112</v>
      </c>
      <c r="E313" s="3" t="s">
        <v>816</v>
      </c>
      <c r="F313" s="3" t="s">
        <v>840</v>
      </c>
      <c r="G313" s="9">
        <v>205.9</v>
      </c>
      <c r="H313" s="10">
        <v>45668.920486111107</v>
      </c>
      <c r="I313" s="10">
        <v>45668.920486111107</v>
      </c>
      <c r="J313" s="10">
        <v>45668.921168981477</v>
      </c>
      <c r="K313" s="11">
        <v>6.8287037037037036E-4</v>
      </c>
      <c r="L313" s="13"/>
    </row>
    <row r="314" spans="1:12" x14ac:dyDescent="0.45">
      <c r="A314" s="3" t="s">
        <v>839</v>
      </c>
      <c r="B314" s="3" t="s">
        <v>1184</v>
      </c>
      <c r="C314" s="3" t="s">
        <v>671</v>
      </c>
      <c r="D314" s="9">
        <v>256</v>
      </c>
      <c r="E314" s="3" t="s">
        <v>820</v>
      </c>
      <c r="F314" s="3" t="s">
        <v>840</v>
      </c>
      <c r="G314" s="9">
        <v>245</v>
      </c>
      <c r="H314" s="10">
        <v>45668.94771990741</v>
      </c>
      <c r="I314" s="10">
        <v>45668.94771990741</v>
      </c>
      <c r="J314" s="10">
        <v>45668.948819444442</v>
      </c>
      <c r="K314" s="11">
        <v>1.0995370370370371E-3</v>
      </c>
      <c r="L314" s="13"/>
    </row>
    <row r="315" spans="1:12" x14ac:dyDescent="0.45">
      <c r="A315" s="3" t="s">
        <v>839</v>
      </c>
      <c r="B315" s="3" t="s">
        <v>1185</v>
      </c>
      <c r="C315" s="3" t="s">
        <v>750</v>
      </c>
      <c r="D315" s="9">
        <v>128</v>
      </c>
      <c r="E315" s="3" t="s">
        <v>816</v>
      </c>
      <c r="F315" s="3" t="s">
        <v>840</v>
      </c>
      <c r="G315" s="9">
        <v>205.9</v>
      </c>
      <c r="H315" s="10">
        <v>45669.020300925928</v>
      </c>
      <c r="I315" s="10">
        <v>45669.020300925928</v>
      </c>
      <c r="J315" s="10">
        <v>45669.02103009259</v>
      </c>
      <c r="K315" s="11">
        <v>7.291666666666667E-4</v>
      </c>
      <c r="L315" s="13"/>
    </row>
    <row r="316" spans="1:12" x14ac:dyDescent="0.45">
      <c r="A316" s="3" t="s">
        <v>839</v>
      </c>
      <c r="B316" s="3" t="s">
        <v>1186</v>
      </c>
      <c r="C316" s="3" t="s">
        <v>736</v>
      </c>
      <c r="D316" s="9">
        <v>144</v>
      </c>
      <c r="E316" s="3" t="s">
        <v>813</v>
      </c>
      <c r="F316" s="3" t="s">
        <v>840</v>
      </c>
      <c r="G316" s="9">
        <v>223.61</v>
      </c>
      <c r="H316" s="10">
        <v>45669.384444444448</v>
      </c>
      <c r="I316" s="10">
        <v>45669.384444444448</v>
      </c>
      <c r="J316" s="10">
        <v>45669.385243055563</v>
      </c>
      <c r="K316" s="11">
        <v>7.9861111111111116E-4</v>
      </c>
      <c r="L316" s="13"/>
    </row>
    <row r="317" spans="1:12" x14ac:dyDescent="0.45">
      <c r="A317" s="3" t="s">
        <v>839</v>
      </c>
      <c r="B317" s="3" t="s">
        <v>1187</v>
      </c>
      <c r="C317" s="3" t="s">
        <v>715</v>
      </c>
      <c r="D317" s="9">
        <v>160</v>
      </c>
      <c r="E317" s="3" t="s">
        <v>819</v>
      </c>
      <c r="F317" s="3" t="s">
        <v>840</v>
      </c>
      <c r="G317" s="9">
        <v>259.31</v>
      </c>
      <c r="H317" s="10">
        <v>45669.387939814813</v>
      </c>
      <c r="I317" s="10">
        <v>45669.387939814813</v>
      </c>
      <c r="J317" s="10">
        <v>45669.388842592591</v>
      </c>
      <c r="K317" s="11">
        <v>9.0277777777777774E-4</v>
      </c>
      <c r="L317" s="13"/>
    </row>
    <row r="318" spans="1:12" x14ac:dyDescent="0.45">
      <c r="A318" s="3" t="s">
        <v>839</v>
      </c>
      <c r="B318" s="3" t="s">
        <v>1188</v>
      </c>
      <c r="C318" s="3" t="s">
        <v>731</v>
      </c>
      <c r="D318" s="9">
        <v>128</v>
      </c>
      <c r="E318" s="3" t="s">
        <v>822</v>
      </c>
      <c r="F318" s="3" t="s">
        <v>840</v>
      </c>
      <c r="G318" s="9">
        <v>259.16000000000003</v>
      </c>
      <c r="H318" s="10">
        <v>45669.440428240741</v>
      </c>
      <c r="I318" s="10">
        <v>45669.440428240741</v>
      </c>
      <c r="J318" s="10">
        <v>45669.44127314815</v>
      </c>
      <c r="K318" s="11">
        <v>8.4490740740740739E-4</v>
      </c>
      <c r="L318" s="13"/>
    </row>
    <row r="319" spans="1:12" x14ac:dyDescent="0.45">
      <c r="A319" s="3" t="s">
        <v>839</v>
      </c>
      <c r="B319" s="3" t="s">
        <v>1189</v>
      </c>
      <c r="C319" s="3" t="s">
        <v>723</v>
      </c>
      <c r="D319" s="9">
        <v>128</v>
      </c>
      <c r="E319" s="3" t="s">
        <v>821</v>
      </c>
      <c r="F319" s="3" t="s">
        <v>840</v>
      </c>
      <c r="G319" s="9">
        <v>286.14</v>
      </c>
      <c r="H319" s="10">
        <v>45669.467905092592</v>
      </c>
      <c r="I319" s="10">
        <v>45669.467905092592</v>
      </c>
      <c r="J319" s="10">
        <v>45669.4687962963</v>
      </c>
      <c r="K319" s="11">
        <v>8.9120370370370373E-4</v>
      </c>
      <c r="L319" s="13"/>
    </row>
    <row r="320" spans="1:12" x14ac:dyDescent="0.45">
      <c r="A320" s="3" t="s">
        <v>839</v>
      </c>
      <c r="B320" s="3" t="s">
        <v>1190</v>
      </c>
      <c r="C320" s="3" t="s">
        <v>778</v>
      </c>
      <c r="D320" s="9">
        <v>144</v>
      </c>
      <c r="E320" s="3" t="s">
        <v>815</v>
      </c>
      <c r="F320" s="3" t="s">
        <v>840</v>
      </c>
      <c r="G320" s="9">
        <v>286.14</v>
      </c>
      <c r="H320" s="10">
        <v>45669.508391203701</v>
      </c>
      <c r="I320" s="10">
        <v>45669.508391203701</v>
      </c>
      <c r="J320" s="10">
        <v>45669.509317129632</v>
      </c>
      <c r="K320" s="11">
        <v>9.2592592592592596E-4</v>
      </c>
      <c r="L320" s="13"/>
    </row>
    <row r="321" spans="1:12" x14ac:dyDescent="0.45">
      <c r="A321" s="3" t="s">
        <v>839</v>
      </c>
      <c r="B321" s="3" t="s">
        <v>1191</v>
      </c>
      <c r="C321" s="3" t="s">
        <v>747</v>
      </c>
      <c r="D321" s="9">
        <v>144</v>
      </c>
      <c r="E321" s="3" t="s">
        <v>814</v>
      </c>
      <c r="F321" s="3" t="s">
        <v>840</v>
      </c>
      <c r="G321" s="9">
        <v>188.33</v>
      </c>
      <c r="H321" s="10">
        <v>45669.539629629631</v>
      </c>
      <c r="I321" s="10">
        <v>45669.539629629631</v>
      </c>
      <c r="J321" s="10">
        <v>45669.540358796286</v>
      </c>
      <c r="K321" s="11">
        <v>7.291666666666667E-4</v>
      </c>
      <c r="L321" s="13"/>
    </row>
    <row r="322" spans="1:12" x14ac:dyDescent="0.45">
      <c r="A322" s="3" t="s">
        <v>839</v>
      </c>
      <c r="B322" s="3" t="s">
        <v>1192</v>
      </c>
      <c r="C322" s="3" t="s">
        <v>787</v>
      </c>
      <c r="D322" s="9">
        <v>112</v>
      </c>
      <c r="E322" s="3" t="s">
        <v>818</v>
      </c>
      <c r="F322" s="3" t="s">
        <v>840</v>
      </c>
      <c r="G322" s="9">
        <v>262.93</v>
      </c>
      <c r="H322" s="10">
        <v>45669.706284722219</v>
      </c>
      <c r="I322" s="10">
        <v>45669.706284722219</v>
      </c>
      <c r="J322" s="10">
        <v>45669.707083333327</v>
      </c>
      <c r="K322" s="11">
        <v>7.9861111111111116E-4</v>
      </c>
      <c r="L322" s="13"/>
    </row>
    <row r="323" spans="1:12" x14ac:dyDescent="0.45">
      <c r="A323" s="3" t="s">
        <v>839</v>
      </c>
      <c r="B323" s="3" t="s">
        <v>1193</v>
      </c>
      <c r="C323" s="3" t="s">
        <v>755</v>
      </c>
      <c r="D323" s="9">
        <v>192</v>
      </c>
      <c r="E323" s="3" t="s">
        <v>817</v>
      </c>
      <c r="F323" s="3" t="s">
        <v>840</v>
      </c>
      <c r="G323" s="9">
        <v>240.31</v>
      </c>
      <c r="H323" s="10">
        <v>45669.847928240742</v>
      </c>
      <c r="I323" s="10">
        <v>45669.847928240742</v>
      </c>
      <c r="J323" s="10">
        <v>45669.848877314813</v>
      </c>
      <c r="K323" s="11">
        <v>9.4907407407407408E-4</v>
      </c>
      <c r="L323" s="13"/>
    </row>
    <row r="324" spans="1:12" x14ac:dyDescent="0.45">
      <c r="A324" s="3" t="s">
        <v>839</v>
      </c>
      <c r="B324" s="3" t="s">
        <v>1194</v>
      </c>
      <c r="C324" s="3" t="s">
        <v>792</v>
      </c>
      <c r="D324" s="9">
        <v>304</v>
      </c>
      <c r="E324" s="3" t="s">
        <v>814</v>
      </c>
      <c r="F324" s="3" t="s">
        <v>840</v>
      </c>
      <c r="G324" s="9">
        <v>188.33</v>
      </c>
      <c r="H324" s="10">
        <v>45669.995011574072</v>
      </c>
      <c r="I324" s="10">
        <v>45669.995011574072</v>
      </c>
      <c r="J324" s="10">
        <v>45669.996111111112</v>
      </c>
      <c r="K324" s="11">
        <v>1.0995370370370371E-3</v>
      </c>
      <c r="L324" s="13"/>
    </row>
    <row r="325" spans="1:12" x14ac:dyDescent="0.45">
      <c r="A325" s="3" t="s">
        <v>1195</v>
      </c>
      <c r="B325" s="3" t="s">
        <v>1196</v>
      </c>
      <c r="C325" s="3" t="s">
        <v>140</v>
      </c>
      <c r="D325" s="9">
        <v>208</v>
      </c>
      <c r="E325" s="3"/>
      <c r="F325" s="3"/>
      <c r="G325" s="9"/>
      <c r="H325" s="10">
        <v>45663.209965277783</v>
      </c>
      <c r="I325" s="10">
        <v>45663.212743055563</v>
      </c>
      <c r="J325" s="10">
        <v>45663.21775462963</v>
      </c>
      <c r="K325" s="11">
        <v>5.0115740740740737E-3</v>
      </c>
      <c r="L325" s="13">
        <v>2</v>
      </c>
    </row>
    <row r="326" spans="1:12" x14ac:dyDescent="0.45">
      <c r="A326" s="3" t="s">
        <v>1195</v>
      </c>
      <c r="B326" s="3" t="s">
        <v>1197</v>
      </c>
      <c r="C326" s="3" t="s">
        <v>138</v>
      </c>
      <c r="D326" s="9">
        <v>224</v>
      </c>
      <c r="E326" s="3"/>
      <c r="F326" s="3"/>
      <c r="G326" s="9"/>
      <c r="H326" s="10">
        <v>45663.210439814808</v>
      </c>
      <c r="I326" s="10">
        <v>45663.213217592587</v>
      </c>
      <c r="J326" s="10">
        <v>45663.219652777778</v>
      </c>
      <c r="K326" s="11">
        <v>6.4351851851851853E-3</v>
      </c>
      <c r="L326" s="13">
        <v>2</v>
      </c>
    </row>
    <row r="327" spans="1:12" x14ac:dyDescent="0.45">
      <c r="A327" s="3" t="s">
        <v>1195</v>
      </c>
      <c r="B327" s="3" t="s">
        <v>1198</v>
      </c>
      <c r="C327" s="3" t="s">
        <v>142</v>
      </c>
      <c r="D327" s="9">
        <v>160</v>
      </c>
      <c r="E327" s="3"/>
      <c r="F327" s="3"/>
      <c r="G327" s="9"/>
      <c r="H327" s="10">
        <v>45663.314456018517</v>
      </c>
      <c r="I327" s="10">
        <v>45663.317233796297</v>
      </c>
      <c r="J327" s="10">
        <v>45663.319687499999</v>
      </c>
      <c r="K327" s="11">
        <v>2.453703703703704E-3</v>
      </c>
      <c r="L327" s="13">
        <v>0</v>
      </c>
    </row>
    <row r="328" spans="1:12" x14ac:dyDescent="0.45">
      <c r="A328" s="3" t="s">
        <v>1195</v>
      </c>
      <c r="B328" s="3" t="s">
        <v>1199</v>
      </c>
      <c r="C328" s="3" t="s">
        <v>143</v>
      </c>
      <c r="D328" s="9">
        <v>96</v>
      </c>
      <c r="E328" s="3"/>
      <c r="F328" s="3"/>
      <c r="G328" s="9"/>
      <c r="H328" s="10">
        <v>45663.470567129632</v>
      </c>
      <c r="I328" s="10">
        <v>45663.473344907397</v>
      </c>
      <c r="J328" s="10">
        <v>45663.474722222221</v>
      </c>
      <c r="K328" s="11">
        <v>1.3773148148148149E-3</v>
      </c>
      <c r="L328" s="13">
        <v>0</v>
      </c>
    </row>
    <row r="329" spans="1:12" x14ac:dyDescent="0.45">
      <c r="A329" s="3" t="s">
        <v>1195</v>
      </c>
      <c r="B329" s="3" t="s">
        <v>1200</v>
      </c>
      <c r="C329" s="3" t="s">
        <v>144</v>
      </c>
      <c r="D329" s="9">
        <v>176</v>
      </c>
      <c r="E329" s="3"/>
      <c r="F329" s="3"/>
      <c r="G329" s="9"/>
      <c r="H329" s="10">
        <v>45663.616585648153</v>
      </c>
      <c r="I329" s="10">
        <v>45663.619363425933</v>
      </c>
      <c r="J329" s="10">
        <v>45663.6247337963</v>
      </c>
      <c r="K329" s="11">
        <v>5.37037037037037E-3</v>
      </c>
      <c r="L329" s="13">
        <v>2</v>
      </c>
    </row>
    <row r="330" spans="1:12" x14ac:dyDescent="0.45">
      <c r="A330" s="3" t="s">
        <v>1195</v>
      </c>
      <c r="B330" s="3" t="s">
        <v>1201</v>
      </c>
      <c r="C330" s="3" t="s">
        <v>145</v>
      </c>
      <c r="D330" s="9">
        <v>160</v>
      </c>
      <c r="E330" s="3"/>
      <c r="F330" s="3"/>
      <c r="G330" s="9"/>
      <c r="H330" s="10">
        <v>45664.251956018517</v>
      </c>
      <c r="I330" s="10">
        <v>45664.254733796297</v>
      </c>
      <c r="J330" s="10">
        <v>45664.257037037038</v>
      </c>
      <c r="K330" s="11">
        <v>2.3032407407407411E-3</v>
      </c>
      <c r="L330" s="13">
        <v>1</v>
      </c>
    </row>
    <row r="331" spans="1:12" x14ac:dyDescent="0.45">
      <c r="A331" s="3" t="s">
        <v>1195</v>
      </c>
      <c r="B331" s="3" t="s">
        <v>1202</v>
      </c>
      <c r="C331" s="3" t="s">
        <v>146</v>
      </c>
      <c r="D331" s="9">
        <v>128</v>
      </c>
      <c r="E331" s="3"/>
      <c r="F331" s="3"/>
      <c r="G331" s="9"/>
      <c r="H331" s="10">
        <v>45664.261863425927</v>
      </c>
      <c r="I331" s="10">
        <v>45664.264641203707</v>
      </c>
      <c r="J331" s="10">
        <v>45664.266597222217</v>
      </c>
      <c r="K331" s="11">
        <v>1.956018518518518E-3</v>
      </c>
      <c r="L331" s="13">
        <v>0</v>
      </c>
    </row>
    <row r="332" spans="1:12" x14ac:dyDescent="0.45">
      <c r="A332" s="3" t="s">
        <v>1195</v>
      </c>
      <c r="B332" s="3" t="s">
        <v>1203</v>
      </c>
      <c r="C332" s="3" t="s">
        <v>147</v>
      </c>
      <c r="D332" s="9">
        <v>224</v>
      </c>
      <c r="E332" s="3"/>
      <c r="F332" s="3"/>
      <c r="G332" s="9"/>
      <c r="H332" s="10">
        <v>45664.267384259263</v>
      </c>
      <c r="I332" s="10">
        <v>45664.270162037043</v>
      </c>
      <c r="J332" s="10">
        <v>45664.275555555563</v>
      </c>
      <c r="K332" s="11">
        <v>5.3935185185185188E-3</v>
      </c>
      <c r="L332" s="13">
        <v>2</v>
      </c>
    </row>
    <row r="333" spans="1:12" x14ac:dyDescent="0.45">
      <c r="A333" s="3" t="s">
        <v>1195</v>
      </c>
      <c r="B333" s="3" t="s">
        <v>1204</v>
      </c>
      <c r="C333" s="3" t="s">
        <v>148</v>
      </c>
      <c r="D333" s="9">
        <v>128</v>
      </c>
      <c r="E333" s="3"/>
      <c r="F333" s="3"/>
      <c r="G333" s="9"/>
      <c r="H333" s="10">
        <v>45664.277141203696</v>
      </c>
      <c r="I333" s="10">
        <v>45664.279918981483</v>
      </c>
      <c r="J333" s="10">
        <v>45664.282997685194</v>
      </c>
      <c r="K333" s="11">
        <v>3.0787037037037042E-3</v>
      </c>
      <c r="L333" s="13">
        <v>2</v>
      </c>
    </row>
    <row r="334" spans="1:12" x14ac:dyDescent="0.45">
      <c r="A334" s="3" t="s">
        <v>1195</v>
      </c>
      <c r="B334" s="3" t="s">
        <v>1205</v>
      </c>
      <c r="C334" s="3" t="s">
        <v>149</v>
      </c>
      <c r="D334" s="9">
        <v>96</v>
      </c>
      <c r="E334" s="3"/>
      <c r="F334" s="3"/>
      <c r="G334" s="9"/>
      <c r="H334" s="10">
        <v>45664.286539351851</v>
      </c>
      <c r="I334" s="10">
        <v>45664.289317129631</v>
      </c>
      <c r="J334" s="10">
        <v>45664.290462962963</v>
      </c>
      <c r="K334" s="11">
        <v>1.1458333333333329E-3</v>
      </c>
      <c r="L334" s="13">
        <v>0</v>
      </c>
    </row>
    <row r="335" spans="1:12" x14ac:dyDescent="0.45">
      <c r="A335" s="3" t="s">
        <v>1195</v>
      </c>
      <c r="B335" s="3" t="s">
        <v>1206</v>
      </c>
      <c r="C335" s="3" t="s">
        <v>150</v>
      </c>
      <c r="D335" s="9">
        <v>192</v>
      </c>
      <c r="E335" s="3"/>
      <c r="F335" s="3"/>
      <c r="G335" s="9"/>
      <c r="H335" s="10">
        <v>45664.293958333343</v>
      </c>
      <c r="I335" s="10">
        <v>45664.296736111108</v>
      </c>
      <c r="J335" s="10">
        <v>45664.299317129633</v>
      </c>
      <c r="K335" s="11">
        <v>2.5810185185185189E-3</v>
      </c>
      <c r="L335" s="13">
        <v>1</v>
      </c>
    </row>
    <row r="336" spans="1:12" x14ac:dyDescent="0.45">
      <c r="A336" s="3" t="s">
        <v>1195</v>
      </c>
      <c r="B336" s="3" t="s">
        <v>1207</v>
      </c>
      <c r="C336" s="3" t="s">
        <v>151</v>
      </c>
      <c r="D336" s="9">
        <v>128</v>
      </c>
      <c r="E336" s="3"/>
      <c r="F336" s="3"/>
      <c r="G336" s="9"/>
      <c r="H336" s="10">
        <v>45664.543553240743</v>
      </c>
      <c r="I336" s="10">
        <v>45664.546331018522</v>
      </c>
      <c r="J336" s="10">
        <v>45664.547986111109</v>
      </c>
      <c r="K336" s="11">
        <v>1.655092592592593E-3</v>
      </c>
      <c r="L336" s="13">
        <v>0</v>
      </c>
    </row>
    <row r="337" spans="1:12" x14ac:dyDescent="0.45">
      <c r="A337" s="3" t="s">
        <v>1195</v>
      </c>
      <c r="B337" s="3" t="s">
        <v>1208</v>
      </c>
      <c r="C337" s="3" t="s">
        <v>152</v>
      </c>
      <c r="D337" s="9">
        <v>80</v>
      </c>
      <c r="E337" s="3"/>
      <c r="F337" s="3"/>
      <c r="G337" s="9"/>
      <c r="H337" s="10">
        <v>45664.689270833333</v>
      </c>
      <c r="I337" s="10">
        <v>45664.692048611112</v>
      </c>
      <c r="J337" s="10">
        <v>45664.693124999998</v>
      </c>
      <c r="K337" s="11">
        <v>1.0763888888888891E-3</v>
      </c>
      <c r="L337" s="13">
        <v>0</v>
      </c>
    </row>
    <row r="338" spans="1:12" x14ac:dyDescent="0.45">
      <c r="A338" s="3" t="s">
        <v>1195</v>
      </c>
      <c r="B338" s="3" t="s">
        <v>1209</v>
      </c>
      <c r="C338" s="3" t="s">
        <v>153</v>
      </c>
      <c r="D338" s="9">
        <v>64</v>
      </c>
      <c r="E338" s="3"/>
      <c r="F338" s="3"/>
      <c r="G338" s="9"/>
      <c r="H338" s="10">
        <v>45664.834699074083</v>
      </c>
      <c r="I338" s="10">
        <v>45664.837476851862</v>
      </c>
      <c r="J338" s="10">
        <v>45664.838310185187</v>
      </c>
      <c r="K338" s="11">
        <v>8.3333333333333339E-4</v>
      </c>
      <c r="L338" s="13">
        <v>1</v>
      </c>
    </row>
    <row r="339" spans="1:12" x14ac:dyDescent="0.45">
      <c r="A339" s="3" t="s">
        <v>1195</v>
      </c>
      <c r="B339" s="3" t="s">
        <v>1210</v>
      </c>
      <c r="C339" s="3" t="s">
        <v>156</v>
      </c>
      <c r="D339" s="9">
        <v>64</v>
      </c>
      <c r="E339" s="3"/>
      <c r="F339" s="3"/>
      <c r="G339" s="9"/>
      <c r="H339" s="10">
        <v>45665.230532407397</v>
      </c>
      <c r="I339" s="10">
        <v>45665.233310185176</v>
      </c>
      <c r="J339" s="10">
        <v>45665.234166666669</v>
      </c>
      <c r="K339" s="11">
        <v>8.564814814814815E-4</v>
      </c>
      <c r="L339" s="13">
        <v>1</v>
      </c>
    </row>
    <row r="340" spans="1:12" x14ac:dyDescent="0.45">
      <c r="A340" s="3" t="s">
        <v>1195</v>
      </c>
      <c r="B340" s="3" t="s">
        <v>1211</v>
      </c>
      <c r="C340" s="3" t="s">
        <v>157</v>
      </c>
      <c r="D340" s="9">
        <v>96</v>
      </c>
      <c r="E340" s="3"/>
      <c r="F340" s="3"/>
      <c r="G340" s="9"/>
      <c r="H340" s="10">
        <v>45665.230543981481</v>
      </c>
      <c r="I340" s="10">
        <v>45665.23332175926</v>
      </c>
      <c r="J340" s="10">
        <v>45665.234560185178</v>
      </c>
      <c r="K340" s="11">
        <v>1.238425925925926E-3</v>
      </c>
      <c r="L340" s="13">
        <v>0</v>
      </c>
    </row>
    <row r="341" spans="1:12" x14ac:dyDescent="0.45">
      <c r="A341" s="3" t="s">
        <v>1195</v>
      </c>
      <c r="B341" s="3" t="s">
        <v>1212</v>
      </c>
      <c r="C341" s="3" t="s">
        <v>155</v>
      </c>
      <c r="D341" s="9">
        <v>192</v>
      </c>
      <c r="E341" s="3"/>
      <c r="F341" s="3"/>
      <c r="G341" s="9"/>
      <c r="H341" s="10">
        <v>45665.231203703697</v>
      </c>
      <c r="I341" s="10">
        <v>45665.233981481477</v>
      </c>
      <c r="J341" s="10">
        <v>45665.239849537043</v>
      </c>
      <c r="K341" s="11">
        <v>5.8680555555555552E-3</v>
      </c>
      <c r="L341" s="13">
        <v>2</v>
      </c>
    </row>
    <row r="342" spans="1:12" x14ac:dyDescent="0.45">
      <c r="A342" s="3" t="s">
        <v>1195</v>
      </c>
      <c r="B342" s="3" t="s">
        <v>1213</v>
      </c>
      <c r="C342" s="3" t="s">
        <v>158</v>
      </c>
      <c r="D342" s="9">
        <v>176</v>
      </c>
      <c r="E342" s="3"/>
      <c r="F342" s="3"/>
      <c r="G342" s="9"/>
      <c r="H342" s="10">
        <v>45665.377002314817</v>
      </c>
      <c r="I342" s="10">
        <v>45665.379780092589</v>
      </c>
      <c r="J342" s="10">
        <v>45665.382303240738</v>
      </c>
      <c r="K342" s="11">
        <v>2.5231481481481481E-3</v>
      </c>
      <c r="L342" s="13">
        <v>1</v>
      </c>
    </row>
    <row r="343" spans="1:12" x14ac:dyDescent="0.45">
      <c r="A343" s="3" t="s">
        <v>1195</v>
      </c>
      <c r="B343" s="3" t="s">
        <v>1214</v>
      </c>
      <c r="C343" s="3" t="s">
        <v>159</v>
      </c>
      <c r="D343" s="9">
        <v>144</v>
      </c>
      <c r="E343" s="3"/>
      <c r="F343" s="3"/>
      <c r="G343" s="9"/>
      <c r="H343" s="10">
        <v>45665.382037037038</v>
      </c>
      <c r="I343" s="10">
        <v>45665.384814814817</v>
      </c>
      <c r="J343" s="10">
        <v>45665.386817129627</v>
      </c>
      <c r="K343" s="11">
        <v>2.0023148148148148E-3</v>
      </c>
      <c r="L343" s="13">
        <v>0</v>
      </c>
    </row>
    <row r="344" spans="1:12" x14ac:dyDescent="0.45">
      <c r="A344" s="3" t="s">
        <v>1195</v>
      </c>
      <c r="B344" s="3" t="s">
        <v>1215</v>
      </c>
      <c r="C344" s="3" t="s">
        <v>160</v>
      </c>
      <c r="D344" s="9">
        <v>192</v>
      </c>
      <c r="E344" s="3"/>
      <c r="F344" s="3"/>
      <c r="G344" s="9"/>
      <c r="H344" s="10">
        <v>45665.398564814823</v>
      </c>
      <c r="I344" s="10">
        <v>45665.401342592602</v>
      </c>
      <c r="J344" s="10">
        <v>45665.404189814813</v>
      </c>
      <c r="K344" s="11">
        <v>2.8472222222222219E-3</v>
      </c>
      <c r="L344" s="13">
        <v>1</v>
      </c>
    </row>
    <row r="345" spans="1:12" x14ac:dyDescent="0.45">
      <c r="A345" s="3" t="s">
        <v>1195</v>
      </c>
      <c r="B345" s="3" t="s">
        <v>1216</v>
      </c>
      <c r="C345" s="3" t="s">
        <v>161</v>
      </c>
      <c r="D345" s="9">
        <v>160</v>
      </c>
      <c r="E345" s="3"/>
      <c r="F345" s="3"/>
      <c r="G345" s="9"/>
      <c r="H345" s="10">
        <v>45665.404305555552</v>
      </c>
      <c r="I345" s="10">
        <v>45665.407083333332</v>
      </c>
      <c r="J345" s="10">
        <v>45665.409375000003</v>
      </c>
      <c r="K345" s="11">
        <v>2.2916666666666671E-3</v>
      </c>
      <c r="L345" s="13">
        <v>0</v>
      </c>
    </row>
    <row r="346" spans="1:12" x14ac:dyDescent="0.45">
      <c r="A346" s="3" t="s">
        <v>1195</v>
      </c>
      <c r="B346" s="3" t="s">
        <v>1217</v>
      </c>
      <c r="C346" s="3" t="s">
        <v>162</v>
      </c>
      <c r="D346" s="9">
        <v>256</v>
      </c>
      <c r="E346" s="3"/>
      <c r="F346" s="3"/>
      <c r="G346" s="9"/>
      <c r="H346" s="10">
        <v>45665.422326388893</v>
      </c>
      <c r="I346" s="10">
        <v>45665.425104166658</v>
      </c>
      <c r="J346" s="10">
        <v>45665.428773148153</v>
      </c>
      <c r="K346" s="11">
        <v>3.668981481481481E-3</v>
      </c>
      <c r="L346" s="13">
        <v>1</v>
      </c>
    </row>
    <row r="347" spans="1:12" x14ac:dyDescent="0.45">
      <c r="A347" s="3" t="s">
        <v>1195</v>
      </c>
      <c r="B347" s="3" t="s">
        <v>1218</v>
      </c>
      <c r="C347" s="3" t="s">
        <v>163</v>
      </c>
      <c r="D347" s="9">
        <v>160</v>
      </c>
      <c r="E347" s="3"/>
      <c r="F347" s="3"/>
      <c r="G347" s="9"/>
      <c r="H347" s="10">
        <v>45665.595706018517</v>
      </c>
      <c r="I347" s="10">
        <v>45665.598483796297</v>
      </c>
      <c r="J347" s="10">
        <v>45665.600937499999</v>
      </c>
      <c r="K347" s="11">
        <v>2.453703703703704E-3</v>
      </c>
      <c r="L347" s="13">
        <v>1</v>
      </c>
    </row>
    <row r="348" spans="1:12" x14ac:dyDescent="0.45">
      <c r="A348" s="3" t="s">
        <v>1195</v>
      </c>
      <c r="B348" s="3" t="s">
        <v>1219</v>
      </c>
      <c r="C348" s="3" t="s">
        <v>164</v>
      </c>
      <c r="D348" s="9">
        <v>112</v>
      </c>
      <c r="E348" s="3"/>
      <c r="F348" s="3"/>
      <c r="G348" s="9"/>
      <c r="H348" s="10">
        <v>45665.751851851863</v>
      </c>
      <c r="I348" s="10">
        <v>45665.754629629628</v>
      </c>
      <c r="J348" s="10">
        <v>45665.75613425926</v>
      </c>
      <c r="K348" s="11">
        <v>1.5046296296296301E-3</v>
      </c>
      <c r="L348" s="13">
        <v>0</v>
      </c>
    </row>
    <row r="349" spans="1:12" x14ac:dyDescent="0.45">
      <c r="A349" s="3" t="s">
        <v>1195</v>
      </c>
      <c r="B349" s="3" t="s">
        <v>1220</v>
      </c>
      <c r="C349" s="3" t="s">
        <v>165</v>
      </c>
      <c r="D349" s="9">
        <v>256</v>
      </c>
      <c r="E349" s="3"/>
      <c r="F349" s="3"/>
      <c r="G349" s="9"/>
      <c r="H349" s="10">
        <v>45665.898020833331</v>
      </c>
      <c r="I349" s="10">
        <v>45665.90079861111</v>
      </c>
      <c r="J349" s="10">
        <v>45665.904710648138</v>
      </c>
      <c r="K349" s="11">
        <v>3.9120370370370368E-3</v>
      </c>
      <c r="L349" s="13">
        <v>0</v>
      </c>
    </row>
    <row r="350" spans="1:12" x14ac:dyDescent="0.45">
      <c r="A350" s="3" t="s">
        <v>1195</v>
      </c>
      <c r="B350" s="3" t="s">
        <v>1221</v>
      </c>
      <c r="C350" s="3" t="s">
        <v>166</v>
      </c>
      <c r="D350" s="9">
        <v>128</v>
      </c>
      <c r="E350" s="3"/>
      <c r="F350" s="3"/>
      <c r="G350" s="9"/>
      <c r="H350" s="10">
        <v>45666.210219907407</v>
      </c>
      <c r="I350" s="10">
        <v>45666.212997685187</v>
      </c>
      <c r="J350" s="10">
        <v>45666.214722222219</v>
      </c>
      <c r="K350" s="11">
        <v>1.724537037037037E-3</v>
      </c>
      <c r="L350" s="13">
        <v>1</v>
      </c>
    </row>
    <row r="351" spans="1:12" x14ac:dyDescent="0.45">
      <c r="A351" s="3" t="s">
        <v>1195</v>
      </c>
      <c r="B351" s="3" t="s">
        <v>1222</v>
      </c>
      <c r="C351" s="3" t="s">
        <v>167</v>
      </c>
      <c r="D351" s="9">
        <v>176</v>
      </c>
      <c r="E351" s="3"/>
      <c r="F351" s="3"/>
      <c r="G351" s="9"/>
      <c r="H351" s="10">
        <v>45666.216145833343</v>
      </c>
      <c r="I351" s="10">
        <v>45666.218923611108</v>
      </c>
      <c r="J351" s="10">
        <v>45666.221284722233</v>
      </c>
      <c r="K351" s="11">
        <v>2.3611111111111111E-3</v>
      </c>
      <c r="L351" s="13">
        <v>0</v>
      </c>
    </row>
    <row r="352" spans="1:12" x14ac:dyDescent="0.45">
      <c r="A352" s="3" t="s">
        <v>1195</v>
      </c>
      <c r="B352" s="3" t="s">
        <v>1223</v>
      </c>
      <c r="C352" s="3" t="s">
        <v>168</v>
      </c>
      <c r="D352" s="9">
        <v>176</v>
      </c>
      <c r="E352" s="3"/>
      <c r="F352" s="3"/>
      <c r="G352" s="9"/>
      <c r="H352" s="10">
        <v>45666.223530092589</v>
      </c>
      <c r="I352" s="10">
        <v>45666.226307870369</v>
      </c>
      <c r="J352" s="10">
        <v>45666.233391203707</v>
      </c>
      <c r="K352" s="11">
        <v>7.083333333333333E-3</v>
      </c>
      <c r="L352" s="13">
        <v>3</v>
      </c>
    </row>
    <row r="353" spans="1:12" x14ac:dyDescent="0.45">
      <c r="A353" s="3" t="s">
        <v>1195</v>
      </c>
      <c r="B353" s="3" t="s">
        <v>1224</v>
      </c>
      <c r="C353" s="3" t="s">
        <v>169</v>
      </c>
      <c r="D353" s="9">
        <v>208</v>
      </c>
      <c r="E353" s="3"/>
      <c r="F353" s="3"/>
      <c r="G353" s="9"/>
      <c r="H353" s="10">
        <v>45666.229409722233</v>
      </c>
      <c r="I353" s="10">
        <v>45666.232187499998</v>
      </c>
      <c r="J353" s="10">
        <v>45666.23537037037</v>
      </c>
      <c r="K353" s="11">
        <v>3.1828703703703702E-3</v>
      </c>
      <c r="L353" s="13">
        <v>0</v>
      </c>
    </row>
    <row r="354" spans="1:12" x14ac:dyDescent="0.45">
      <c r="A354" s="3" t="s">
        <v>1195</v>
      </c>
      <c r="B354" s="3" t="s">
        <v>1225</v>
      </c>
      <c r="C354" s="3" t="s">
        <v>170</v>
      </c>
      <c r="D354" s="9">
        <v>144</v>
      </c>
      <c r="E354" s="3"/>
      <c r="F354" s="3"/>
      <c r="G354" s="9"/>
      <c r="H354" s="10">
        <v>45666.232569444437</v>
      </c>
      <c r="I354" s="10">
        <v>45666.235347222217</v>
      </c>
      <c r="J354" s="10">
        <v>45666.237280092602</v>
      </c>
      <c r="K354" s="11">
        <v>1.93287037037037E-3</v>
      </c>
      <c r="L354" s="13">
        <v>0</v>
      </c>
    </row>
    <row r="355" spans="1:12" x14ac:dyDescent="0.45">
      <c r="A355" s="3" t="s">
        <v>1195</v>
      </c>
      <c r="B355" s="3" t="s">
        <v>1226</v>
      </c>
      <c r="C355" s="3" t="s">
        <v>172</v>
      </c>
      <c r="D355" s="9">
        <v>96</v>
      </c>
      <c r="E355" s="3"/>
      <c r="F355" s="3"/>
      <c r="G355" s="9"/>
      <c r="H355" s="10">
        <v>45666.235844907409</v>
      </c>
      <c r="I355" s="10">
        <v>45666.239016203697</v>
      </c>
      <c r="J355" s="10">
        <v>45666.240474537037</v>
      </c>
      <c r="K355" s="11">
        <v>1.458333333333333E-3</v>
      </c>
      <c r="L355" s="13">
        <v>0</v>
      </c>
    </row>
    <row r="356" spans="1:12" x14ac:dyDescent="0.45">
      <c r="A356" s="3" t="s">
        <v>1195</v>
      </c>
      <c r="B356" s="3" t="s">
        <v>1227</v>
      </c>
      <c r="C356" s="3" t="s">
        <v>174</v>
      </c>
      <c r="D356" s="9">
        <v>160</v>
      </c>
      <c r="E356" s="3"/>
      <c r="F356" s="3"/>
      <c r="G356" s="9"/>
      <c r="H356" s="10">
        <v>45666.241539351853</v>
      </c>
      <c r="I356" s="10">
        <v>45666.244317129633</v>
      </c>
      <c r="J356" s="10">
        <v>45666.246539351851</v>
      </c>
      <c r="K356" s="11">
        <v>2.2222222222222218E-3</v>
      </c>
      <c r="L356" s="13">
        <v>0</v>
      </c>
    </row>
    <row r="357" spans="1:12" x14ac:dyDescent="0.45">
      <c r="A357" s="3" t="s">
        <v>1195</v>
      </c>
      <c r="B357" s="3" t="s">
        <v>1228</v>
      </c>
      <c r="C357" s="3" t="s">
        <v>175</v>
      </c>
      <c r="D357" s="9">
        <v>176</v>
      </c>
      <c r="E357" s="3"/>
      <c r="F357" s="3"/>
      <c r="G357" s="9"/>
      <c r="H357" s="10">
        <v>45666.246006944442</v>
      </c>
      <c r="I357" s="10">
        <v>45666.248784722222</v>
      </c>
      <c r="J357" s="10">
        <v>45666.253831018519</v>
      </c>
      <c r="K357" s="11">
        <v>5.0462962962962961E-3</v>
      </c>
      <c r="L357" s="13">
        <v>2</v>
      </c>
    </row>
    <row r="358" spans="1:12" x14ac:dyDescent="0.45">
      <c r="A358" s="3" t="s">
        <v>1195</v>
      </c>
      <c r="B358" s="3" t="s">
        <v>1229</v>
      </c>
      <c r="C358" s="3" t="s">
        <v>177</v>
      </c>
      <c r="D358" s="9">
        <v>192</v>
      </c>
      <c r="E358" s="3"/>
      <c r="F358" s="3"/>
      <c r="G358" s="9"/>
      <c r="H358" s="10">
        <v>45666.459930555553</v>
      </c>
      <c r="I358" s="10">
        <v>45666.462708333333</v>
      </c>
      <c r="J358" s="10">
        <v>45666.468402777777</v>
      </c>
      <c r="K358" s="11">
        <v>5.6944444444444447E-3</v>
      </c>
      <c r="L358" s="13">
        <v>2</v>
      </c>
    </row>
    <row r="359" spans="1:12" x14ac:dyDescent="0.45">
      <c r="A359" s="3" t="s">
        <v>1195</v>
      </c>
      <c r="B359" s="3" t="s">
        <v>1230</v>
      </c>
      <c r="C359" s="3" t="s">
        <v>176</v>
      </c>
      <c r="D359" s="9">
        <v>176</v>
      </c>
      <c r="E359" s="3"/>
      <c r="F359" s="3"/>
      <c r="G359" s="9"/>
      <c r="H359" s="10">
        <v>45666.460335648153</v>
      </c>
      <c r="I359" s="10">
        <v>45666.463113425933</v>
      </c>
      <c r="J359" s="10">
        <v>45666.465636574067</v>
      </c>
      <c r="K359" s="11">
        <v>2.5231481481481481E-3</v>
      </c>
      <c r="L359" s="13">
        <v>1</v>
      </c>
    </row>
    <row r="360" spans="1:12" x14ac:dyDescent="0.45">
      <c r="A360" s="3" t="s">
        <v>1195</v>
      </c>
      <c r="B360" s="3" t="s">
        <v>1231</v>
      </c>
      <c r="C360" s="3" t="s">
        <v>178</v>
      </c>
      <c r="D360" s="9">
        <v>288</v>
      </c>
      <c r="E360" s="3"/>
      <c r="F360" s="3"/>
      <c r="G360" s="9"/>
      <c r="H360" s="10">
        <v>45666.543923611112</v>
      </c>
      <c r="I360" s="10">
        <v>45666.546701388892</v>
      </c>
      <c r="J360" s="10">
        <v>45666.550439814811</v>
      </c>
      <c r="K360" s="11">
        <v>3.7384259259259259E-3</v>
      </c>
      <c r="L360" s="13">
        <v>1</v>
      </c>
    </row>
    <row r="361" spans="1:12" x14ac:dyDescent="0.45">
      <c r="A361" s="3" t="s">
        <v>1195</v>
      </c>
      <c r="B361" s="3" t="s">
        <v>1232</v>
      </c>
      <c r="C361" s="3" t="s">
        <v>179</v>
      </c>
      <c r="D361" s="9">
        <v>176</v>
      </c>
      <c r="E361" s="3"/>
      <c r="F361" s="3"/>
      <c r="G361" s="9"/>
      <c r="H361" s="10">
        <v>45666.548090277778</v>
      </c>
      <c r="I361" s="10">
        <v>45666.550868055558</v>
      </c>
      <c r="J361" s="10">
        <v>45666.555752314824</v>
      </c>
      <c r="K361" s="11">
        <v>4.8842592592592592E-3</v>
      </c>
      <c r="L361" s="13">
        <v>2</v>
      </c>
    </row>
    <row r="362" spans="1:12" x14ac:dyDescent="0.45">
      <c r="A362" s="3" t="s">
        <v>1195</v>
      </c>
      <c r="B362" s="3" t="s">
        <v>1233</v>
      </c>
      <c r="C362" s="3" t="s">
        <v>180</v>
      </c>
      <c r="D362" s="9">
        <v>80</v>
      </c>
      <c r="E362" s="3"/>
      <c r="F362" s="3"/>
      <c r="G362" s="9"/>
      <c r="H362" s="10">
        <v>45666.560798611114</v>
      </c>
      <c r="I362" s="10">
        <v>45666.563576388893</v>
      </c>
      <c r="J362" s="10">
        <v>45666.564768518518</v>
      </c>
      <c r="K362" s="11">
        <v>1.19212962962963E-3</v>
      </c>
      <c r="L362" s="13">
        <v>1</v>
      </c>
    </row>
    <row r="363" spans="1:12" x14ac:dyDescent="0.45">
      <c r="A363" s="3" t="s">
        <v>1195</v>
      </c>
      <c r="B363" s="3" t="s">
        <v>1234</v>
      </c>
      <c r="C363" s="3" t="s">
        <v>181</v>
      </c>
      <c r="D363" s="9">
        <v>192</v>
      </c>
      <c r="E363" s="3"/>
      <c r="F363" s="3"/>
      <c r="G363" s="9"/>
      <c r="H363" s="10">
        <v>45666.570787037039</v>
      </c>
      <c r="I363" s="10">
        <v>45666.573564814818</v>
      </c>
      <c r="J363" s="10">
        <v>45666.576412037037</v>
      </c>
      <c r="K363" s="11">
        <v>2.8472222222222219E-3</v>
      </c>
      <c r="L363" s="13">
        <v>1</v>
      </c>
    </row>
    <row r="364" spans="1:12" x14ac:dyDescent="0.45">
      <c r="A364" s="3" t="s">
        <v>1195</v>
      </c>
      <c r="B364" s="3" t="s">
        <v>1235</v>
      </c>
      <c r="C364" s="3" t="s">
        <v>182</v>
      </c>
      <c r="D364" s="9">
        <v>192</v>
      </c>
      <c r="E364" s="3"/>
      <c r="F364" s="3"/>
      <c r="G364" s="9"/>
      <c r="H364" s="10">
        <v>45666.577986111108</v>
      </c>
      <c r="I364" s="10">
        <v>45666.580763888887</v>
      </c>
      <c r="J364" s="10">
        <v>45666.586458333331</v>
      </c>
      <c r="K364" s="11">
        <v>5.6944444444444447E-3</v>
      </c>
      <c r="L364" s="13">
        <v>2</v>
      </c>
    </row>
    <row r="365" spans="1:12" x14ac:dyDescent="0.45">
      <c r="A365" s="3" t="s">
        <v>1195</v>
      </c>
      <c r="B365" s="3" t="s">
        <v>1236</v>
      </c>
      <c r="C365" s="3" t="s">
        <v>183</v>
      </c>
      <c r="D365" s="9">
        <v>144</v>
      </c>
      <c r="E365" s="3"/>
      <c r="F365" s="3"/>
      <c r="G365" s="9"/>
      <c r="H365" s="10">
        <v>45666.793587962973</v>
      </c>
      <c r="I365" s="10">
        <v>45666.796365740738</v>
      </c>
      <c r="J365" s="10">
        <v>45666.798506944448</v>
      </c>
      <c r="K365" s="11">
        <v>2.1412037037037042E-3</v>
      </c>
      <c r="L365" s="13">
        <v>0</v>
      </c>
    </row>
    <row r="366" spans="1:12" x14ac:dyDescent="0.45">
      <c r="A366" s="3" t="s">
        <v>1195</v>
      </c>
      <c r="B366" s="3" t="s">
        <v>1237</v>
      </c>
      <c r="C366" s="3" t="s">
        <v>184</v>
      </c>
      <c r="D366" s="9">
        <v>272</v>
      </c>
      <c r="E366" s="3"/>
      <c r="F366" s="3"/>
      <c r="G366" s="9"/>
      <c r="H366" s="10">
        <v>45666.7969212963</v>
      </c>
      <c r="I366" s="10">
        <v>45666.799699074072</v>
      </c>
      <c r="J366" s="10">
        <v>45666.807256944441</v>
      </c>
      <c r="K366" s="11">
        <v>7.5578703703703702E-3</v>
      </c>
      <c r="L366" s="13">
        <v>2</v>
      </c>
    </row>
    <row r="367" spans="1:12" x14ac:dyDescent="0.45">
      <c r="A367" s="3" t="s">
        <v>1195</v>
      </c>
      <c r="B367" s="3" t="s">
        <v>1238</v>
      </c>
      <c r="C367" s="3" t="s">
        <v>185</v>
      </c>
      <c r="D367" s="9">
        <v>160</v>
      </c>
      <c r="E367" s="3"/>
      <c r="F367" s="3"/>
      <c r="G367" s="9"/>
      <c r="H367" s="10">
        <v>45666.939456018517</v>
      </c>
      <c r="I367" s="10">
        <v>45666.942233796297</v>
      </c>
      <c r="J367" s="10">
        <v>45666.944606481477</v>
      </c>
      <c r="K367" s="11">
        <v>2.3726851851851851E-3</v>
      </c>
      <c r="L367" s="13">
        <v>0</v>
      </c>
    </row>
    <row r="368" spans="1:12" x14ac:dyDescent="0.45">
      <c r="A368" s="3" t="s">
        <v>1195</v>
      </c>
      <c r="B368" s="3" t="s">
        <v>1239</v>
      </c>
      <c r="C368" s="3" t="s">
        <v>186</v>
      </c>
      <c r="D368" s="9">
        <v>160</v>
      </c>
      <c r="E368" s="3"/>
      <c r="F368" s="3"/>
      <c r="G368" s="9"/>
      <c r="H368" s="10">
        <v>45667.293622685182</v>
      </c>
      <c r="I368" s="10">
        <v>45667.296400462961</v>
      </c>
      <c r="J368" s="10">
        <v>45667.302187499998</v>
      </c>
      <c r="K368" s="11">
        <v>5.7870370370370367E-3</v>
      </c>
      <c r="L368" s="13">
        <v>3</v>
      </c>
    </row>
    <row r="369" spans="1:12" x14ac:dyDescent="0.45">
      <c r="A369" s="3" t="s">
        <v>1195</v>
      </c>
      <c r="B369" s="3" t="s">
        <v>1240</v>
      </c>
      <c r="C369" s="3" t="s">
        <v>187</v>
      </c>
      <c r="D369" s="9">
        <v>144</v>
      </c>
      <c r="E369" s="3"/>
      <c r="F369" s="3"/>
      <c r="G369" s="9"/>
      <c r="H369" s="10">
        <v>45667.317893518521</v>
      </c>
      <c r="I369" s="10">
        <v>45667.320671296293</v>
      </c>
      <c r="J369" s="10">
        <v>45667.324803240743</v>
      </c>
      <c r="K369" s="11">
        <v>4.1319444444444442E-3</v>
      </c>
      <c r="L369" s="13">
        <v>2</v>
      </c>
    </row>
    <row r="370" spans="1:12" x14ac:dyDescent="0.45">
      <c r="A370" s="3" t="s">
        <v>1195</v>
      </c>
      <c r="B370" s="3" t="s">
        <v>1241</v>
      </c>
      <c r="C370" s="3" t="s">
        <v>188</v>
      </c>
      <c r="D370" s="9">
        <v>96</v>
      </c>
      <c r="E370" s="3"/>
      <c r="F370" s="3"/>
      <c r="G370" s="9"/>
      <c r="H370" s="10">
        <v>45667.351817129631</v>
      </c>
      <c r="I370" s="10">
        <v>45667.354594907411</v>
      </c>
      <c r="J370" s="10">
        <v>45667.355787037042</v>
      </c>
      <c r="K370" s="11">
        <v>1.19212962962963E-3</v>
      </c>
      <c r="L370" s="13">
        <v>1</v>
      </c>
    </row>
    <row r="371" spans="1:12" x14ac:dyDescent="0.45">
      <c r="A371" s="3" t="s">
        <v>1195</v>
      </c>
      <c r="B371" s="3" t="s">
        <v>1242</v>
      </c>
      <c r="C371" s="3" t="s">
        <v>189</v>
      </c>
      <c r="D371" s="9">
        <v>176</v>
      </c>
      <c r="E371" s="3"/>
      <c r="F371" s="3"/>
      <c r="G371" s="9"/>
      <c r="H371" s="10">
        <v>45667.37908564815</v>
      </c>
      <c r="I371" s="10">
        <v>45667.381863425922</v>
      </c>
      <c r="J371" s="10">
        <v>45667.38690972222</v>
      </c>
      <c r="K371" s="11">
        <v>5.0462962962962961E-3</v>
      </c>
      <c r="L371" s="13">
        <v>2</v>
      </c>
    </row>
    <row r="372" spans="1:12" x14ac:dyDescent="0.45">
      <c r="A372" s="3" t="s">
        <v>1195</v>
      </c>
      <c r="B372" s="3" t="s">
        <v>1243</v>
      </c>
      <c r="C372" s="3" t="s">
        <v>191</v>
      </c>
      <c r="D372" s="9">
        <v>240</v>
      </c>
      <c r="E372" s="3"/>
      <c r="F372" s="3"/>
      <c r="G372" s="9"/>
      <c r="H372" s="10">
        <v>45667.543379629627</v>
      </c>
      <c r="I372" s="10">
        <v>45667.546157407407</v>
      </c>
      <c r="J372" s="10">
        <v>45667.552152777767</v>
      </c>
      <c r="K372" s="11">
        <v>5.9953703703703714E-3</v>
      </c>
      <c r="L372" s="13">
        <v>2</v>
      </c>
    </row>
    <row r="373" spans="1:12" x14ac:dyDescent="0.45">
      <c r="A373" s="3" t="s">
        <v>1195</v>
      </c>
      <c r="B373" s="3" t="s">
        <v>1244</v>
      </c>
      <c r="C373" s="3" t="s">
        <v>190</v>
      </c>
      <c r="D373" s="9">
        <v>224</v>
      </c>
      <c r="E373" s="3"/>
      <c r="F373" s="3"/>
      <c r="G373" s="9"/>
      <c r="H373" s="10">
        <v>45667.543773148151</v>
      </c>
      <c r="I373" s="10">
        <v>45667.546550925923</v>
      </c>
      <c r="J373" s="10">
        <v>45667.556203703702</v>
      </c>
      <c r="K373" s="11">
        <v>9.6527777777777775E-3</v>
      </c>
      <c r="L373" s="13">
        <v>3</v>
      </c>
    </row>
    <row r="374" spans="1:12" x14ac:dyDescent="0.45">
      <c r="A374" s="3" t="s">
        <v>1195</v>
      </c>
      <c r="B374" s="3" t="s">
        <v>1245</v>
      </c>
      <c r="C374" s="3" t="s">
        <v>192</v>
      </c>
      <c r="D374" s="9">
        <v>208</v>
      </c>
      <c r="E374" s="3"/>
      <c r="F374" s="3"/>
      <c r="G374" s="9"/>
      <c r="H374" s="10">
        <v>45667.627071759263</v>
      </c>
      <c r="I374" s="10">
        <v>45667.629849537043</v>
      </c>
      <c r="J374" s="10">
        <v>45667.635625000003</v>
      </c>
      <c r="K374" s="11">
        <v>5.7754629629629631E-3</v>
      </c>
      <c r="L374" s="13">
        <v>2</v>
      </c>
    </row>
    <row r="375" spans="1:12" x14ac:dyDescent="0.45">
      <c r="A375" s="3" t="s">
        <v>1195</v>
      </c>
      <c r="B375" s="3" t="s">
        <v>1246</v>
      </c>
      <c r="C375" s="3" t="s">
        <v>193</v>
      </c>
      <c r="D375" s="9">
        <v>160</v>
      </c>
      <c r="E375" s="3"/>
      <c r="F375" s="3"/>
      <c r="G375" s="9"/>
      <c r="H375" s="10">
        <v>45667.655428240738</v>
      </c>
      <c r="I375" s="10">
        <v>45667.658206018517</v>
      </c>
      <c r="J375" s="10">
        <v>45667.660358796304</v>
      </c>
      <c r="K375" s="11">
        <v>2.1527777777777782E-3</v>
      </c>
      <c r="L375" s="13">
        <v>0</v>
      </c>
    </row>
    <row r="376" spans="1:12" x14ac:dyDescent="0.45">
      <c r="A376" s="3" t="s">
        <v>1195</v>
      </c>
      <c r="B376" s="3" t="s">
        <v>1247</v>
      </c>
      <c r="C376" s="3" t="s">
        <v>194</v>
      </c>
      <c r="D376" s="9">
        <v>224</v>
      </c>
      <c r="E376" s="3"/>
      <c r="F376" s="3"/>
      <c r="G376" s="9"/>
      <c r="H376" s="10">
        <v>45667.677800925929</v>
      </c>
      <c r="I376" s="10">
        <v>45667.680578703701</v>
      </c>
      <c r="J376" s="10">
        <v>45667.687013888892</v>
      </c>
      <c r="K376" s="11">
        <v>6.4351851851851853E-3</v>
      </c>
      <c r="L376" s="13">
        <v>2</v>
      </c>
    </row>
    <row r="377" spans="1:12" x14ac:dyDescent="0.45">
      <c r="A377" s="3" t="s">
        <v>1195</v>
      </c>
      <c r="B377" s="3" t="s">
        <v>1248</v>
      </c>
      <c r="C377" s="3" t="s">
        <v>195</v>
      </c>
      <c r="D377" s="9">
        <v>128</v>
      </c>
      <c r="E377" s="3"/>
      <c r="F377" s="3"/>
      <c r="G377" s="9"/>
      <c r="H377" s="10">
        <v>45667.706053240741</v>
      </c>
      <c r="I377" s="10">
        <v>45667.708831018521</v>
      </c>
      <c r="J377" s="10">
        <v>45667.712152777778</v>
      </c>
      <c r="K377" s="11">
        <v>3.3217592592592591E-3</v>
      </c>
      <c r="L377" s="13">
        <v>2</v>
      </c>
    </row>
    <row r="378" spans="1:12" x14ac:dyDescent="0.45">
      <c r="A378" s="3" t="s">
        <v>1195</v>
      </c>
      <c r="B378" s="3" t="s">
        <v>1249</v>
      </c>
      <c r="C378" s="3" t="s">
        <v>196</v>
      </c>
      <c r="D378" s="9">
        <v>144</v>
      </c>
      <c r="E378" s="3"/>
      <c r="F378" s="3"/>
      <c r="G378" s="9"/>
      <c r="H378" s="10">
        <v>45667.83525462963</v>
      </c>
      <c r="I378" s="10">
        <v>45667.83803240741</v>
      </c>
      <c r="J378" s="10">
        <v>45667.840104166673</v>
      </c>
      <c r="K378" s="11">
        <v>2.0717592592592589E-3</v>
      </c>
      <c r="L378" s="13">
        <v>1</v>
      </c>
    </row>
    <row r="379" spans="1:12" x14ac:dyDescent="0.45">
      <c r="A379" s="3" t="s">
        <v>1195</v>
      </c>
      <c r="B379" s="3" t="s">
        <v>1250</v>
      </c>
      <c r="C379" s="3" t="s">
        <v>197</v>
      </c>
      <c r="D379" s="9">
        <v>96</v>
      </c>
      <c r="E379" s="3"/>
      <c r="F379" s="3"/>
      <c r="G379" s="9"/>
      <c r="H379" s="10">
        <v>45667.939317129632</v>
      </c>
      <c r="I379" s="10">
        <v>45667.942094907397</v>
      </c>
      <c r="J379" s="10">
        <v>45667.94458333333</v>
      </c>
      <c r="K379" s="11">
        <v>2.488425925925926E-3</v>
      </c>
      <c r="L379" s="13">
        <v>2</v>
      </c>
    </row>
    <row r="380" spans="1:12" x14ac:dyDescent="0.45">
      <c r="A380" s="3" t="s">
        <v>1195</v>
      </c>
      <c r="B380" s="3" t="s">
        <v>1251</v>
      </c>
      <c r="C380" s="3" t="s">
        <v>198</v>
      </c>
      <c r="D380" s="9">
        <v>112</v>
      </c>
      <c r="E380" s="3"/>
      <c r="F380" s="3"/>
      <c r="G380" s="9"/>
      <c r="H380" s="10">
        <v>45668.251851851863</v>
      </c>
      <c r="I380" s="10">
        <v>45668.254629629628</v>
      </c>
      <c r="J380" s="10">
        <v>45668.256238425929</v>
      </c>
      <c r="K380" s="11">
        <v>1.6087962962962961E-3</v>
      </c>
      <c r="L380" s="13">
        <v>0</v>
      </c>
    </row>
    <row r="381" spans="1:12" x14ac:dyDescent="0.45">
      <c r="A381" s="3" t="s">
        <v>1195</v>
      </c>
      <c r="B381" s="3" t="s">
        <v>1252</v>
      </c>
      <c r="C381" s="3" t="s">
        <v>199</v>
      </c>
      <c r="D381" s="9">
        <v>128</v>
      </c>
      <c r="E381" s="3"/>
      <c r="F381" s="3"/>
      <c r="G381" s="9"/>
      <c r="H381" s="10">
        <v>45668.260914351849</v>
      </c>
      <c r="I381" s="10">
        <v>45668.263692129629</v>
      </c>
      <c r="J381" s="10">
        <v>45668.267013888893</v>
      </c>
      <c r="K381" s="11">
        <v>3.3217592592592591E-3</v>
      </c>
      <c r="L381" s="13">
        <v>2</v>
      </c>
    </row>
    <row r="382" spans="1:12" x14ac:dyDescent="0.45">
      <c r="A382" s="3" t="s">
        <v>1195</v>
      </c>
      <c r="B382" s="3" t="s">
        <v>1253</v>
      </c>
      <c r="C382" s="3" t="s">
        <v>200</v>
      </c>
      <c r="D382" s="9">
        <v>128</v>
      </c>
      <c r="E382" s="3"/>
      <c r="F382" s="3"/>
      <c r="G382" s="9"/>
      <c r="H382" s="10">
        <v>45668.273414351846</v>
      </c>
      <c r="I382" s="10">
        <v>45668.276192129633</v>
      </c>
      <c r="J382" s="10">
        <v>45668.278032407397</v>
      </c>
      <c r="K382" s="11">
        <v>1.8402777777777779E-3</v>
      </c>
      <c r="L382" s="13">
        <v>0</v>
      </c>
    </row>
    <row r="383" spans="1:12" x14ac:dyDescent="0.45">
      <c r="A383" s="3" t="s">
        <v>1195</v>
      </c>
      <c r="B383" s="3" t="s">
        <v>1254</v>
      </c>
      <c r="C383" s="3" t="s">
        <v>201</v>
      </c>
      <c r="D383" s="9">
        <v>112</v>
      </c>
      <c r="E383" s="3"/>
      <c r="F383" s="3"/>
      <c r="G383" s="9"/>
      <c r="H383" s="10">
        <v>45668.29074074074</v>
      </c>
      <c r="I383" s="10">
        <v>45668.29351851852</v>
      </c>
      <c r="J383" s="10">
        <v>45668.294965277782</v>
      </c>
      <c r="K383" s="11">
        <v>1.446759259259259E-3</v>
      </c>
      <c r="L383" s="13">
        <v>0</v>
      </c>
    </row>
    <row r="384" spans="1:12" x14ac:dyDescent="0.45">
      <c r="A384" s="3" t="s">
        <v>1195</v>
      </c>
      <c r="B384" s="3" t="s">
        <v>1255</v>
      </c>
      <c r="C384" s="3" t="s">
        <v>202</v>
      </c>
      <c r="D384" s="9">
        <v>112</v>
      </c>
      <c r="E384" s="3"/>
      <c r="F384" s="3"/>
      <c r="G384" s="9"/>
      <c r="H384" s="10">
        <v>45668.305324074077</v>
      </c>
      <c r="I384" s="10">
        <v>45668.30810185185</v>
      </c>
      <c r="J384" s="10">
        <v>45668.311215277783</v>
      </c>
      <c r="K384" s="11">
        <v>3.1134259259259262E-3</v>
      </c>
      <c r="L384" s="13">
        <v>2</v>
      </c>
    </row>
    <row r="385" spans="1:12" x14ac:dyDescent="0.45">
      <c r="A385" s="3" t="s">
        <v>1195</v>
      </c>
      <c r="B385" s="3" t="s">
        <v>1256</v>
      </c>
      <c r="C385" s="3" t="s">
        <v>203</v>
      </c>
      <c r="D385" s="9">
        <v>112</v>
      </c>
      <c r="E385" s="3"/>
      <c r="F385" s="3"/>
      <c r="G385" s="9"/>
      <c r="H385" s="10">
        <v>45668.501851851863</v>
      </c>
      <c r="I385" s="10">
        <v>45668.504629629628</v>
      </c>
      <c r="J385" s="10">
        <v>45668.50613425926</v>
      </c>
      <c r="K385" s="11">
        <v>1.5046296296296301E-3</v>
      </c>
      <c r="L385" s="13">
        <v>1</v>
      </c>
    </row>
    <row r="386" spans="1:12" x14ac:dyDescent="0.45">
      <c r="A386" s="3" t="s">
        <v>1195</v>
      </c>
      <c r="B386" s="3" t="s">
        <v>1257</v>
      </c>
      <c r="C386" s="3" t="s">
        <v>204</v>
      </c>
      <c r="D386" s="9">
        <v>144</v>
      </c>
      <c r="E386" s="3"/>
      <c r="F386" s="3"/>
      <c r="G386" s="9"/>
      <c r="H386" s="10">
        <v>45668.513726851852</v>
      </c>
      <c r="I386" s="10">
        <v>45668.516504629632</v>
      </c>
      <c r="J386" s="10">
        <v>45668.518506944441</v>
      </c>
      <c r="K386" s="11">
        <v>2.0023148148148148E-3</v>
      </c>
      <c r="L386" s="13">
        <v>1</v>
      </c>
    </row>
    <row r="387" spans="1:12" x14ac:dyDescent="0.45">
      <c r="A387" s="3" t="s">
        <v>1195</v>
      </c>
      <c r="B387" s="3" t="s">
        <v>1258</v>
      </c>
      <c r="C387" s="3" t="s">
        <v>205</v>
      </c>
      <c r="D387" s="9">
        <v>112</v>
      </c>
      <c r="E387" s="3"/>
      <c r="F387" s="3"/>
      <c r="G387" s="9"/>
      <c r="H387" s="10">
        <v>45668.522939814808</v>
      </c>
      <c r="I387" s="10">
        <v>45668.525717592587</v>
      </c>
      <c r="J387" s="10">
        <v>45668.527222222219</v>
      </c>
      <c r="K387" s="11">
        <v>1.5046296296296301E-3</v>
      </c>
      <c r="L387" s="13">
        <v>0</v>
      </c>
    </row>
    <row r="388" spans="1:12" x14ac:dyDescent="0.45">
      <c r="A388" s="3" t="s">
        <v>1195</v>
      </c>
      <c r="B388" s="3" t="s">
        <v>1259</v>
      </c>
      <c r="C388" s="3" t="s">
        <v>206</v>
      </c>
      <c r="D388" s="9">
        <v>128</v>
      </c>
      <c r="E388" s="3"/>
      <c r="F388" s="3"/>
      <c r="G388" s="9"/>
      <c r="H388" s="10">
        <v>45668.526886574073</v>
      </c>
      <c r="I388" s="10">
        <v>45668.529664351852</v>
      </c>
      <c r="J388" s="10">
        <v>45668.533217592587</v>
      </c>
      <c r="K388" s="11">
        <v>3.5532407407407409E-3</v>
      </c>
      <c r="L388" s="13">
        <v>2</v>
      </c>
    </row>
    <row r="389" spans="1:12" x14ac:dyDescent="0.45">
      <c r="A389" s="3" t="s">
        <v>1195</v>
      </c>
      <c r="B389" s="3" t="s">
        <v>1260</v>
      </c>
      <c r="C389" s="3" t="s">
        <v>207</v>
      </c>
      <c r="D389" s="9">
        <v>208</v>
      </c>
      <c r="E389" s="3"/>
      <c r="F389" s="3"/>
      <c r="G389" s="9"/>
      <c r="H389" s="10">
        <v>45668.537743055553</v>
      </c>
      <c r="I389" s="10">
        <v>45668.540520833332</v>
      </c>
      <c r="J389" s="10">
        <v>45668.546296296299</v>
      </c>
      <c r="K389" s="11">
        <v>5.7754629629629631E-3</v>
      </c>
      <c r="L389" s="13">
        <v>2</v>
      </c>
    </row>
    <row r="390" spans="1:12" x14ac:dyDescent="0.45">
      <c r="A390" s="3" t="s">
        <v>1195</v>
      </c>
      <c r="B390" s="3" t="s">
        <v>1261</v>
      </c>
      <c r="C390" s="3" t="s">
        <v>208</v>
      </c>
      <c r="D390" s="9">
        <v>96</v>
      </c>
      <c r="E390" s="3"/>
      <c r="F390" s="3"/>
      <c r="G390" s="9"/>
      <c r="H390" s="10">
        <v>45668.546261574083</v>
      </c>
      <c r="I390" s="10">
        <v>45668.549039351848</v>
      </c>
      <c r="J390" s="10">
        <v>45668.550416666672</v>
      </c>
      <c r="K390" s="11">
        <v>1.3773148148148149E-3</v>
      </c>
      <c r="L390" s="13">
        <v>1</v>
      </c>
    </row>
    <row r="391" spans="1:12" x14ac:dyDescent="0.45">
      <c r="A391" s="3" t="s">
        <v>1195</v>
      </c>
      <c r="B391" s="3" t="s">
        <v>1262</v>
      </c>
      <c r="C391" s="3" t="s">
        <v>209</v>
      </c>
      <c r="D391" s="9">
        <v>80</v>
      </c>
      <c r="E391" s="3"/>
      <c r="F391" s="3"/>
      <c r="G391" s="9"/>
      <c r="H391" s="10">
        <v>45668.751770833333</v>
      </c>
      <c r="I391" s="10">
        <v>45668.754548611112</v>
      </c>
      <c r="J391" s="10">
        <v>45668.755740740737</v>
      </c>
      <c r="K391" s="11">
        <v>1.19212962962963E-3</v>
      </c>
      <c r="L391" s="13">
        <v>1</v>
      </c>
    </row>
    <row r="392" spans="1:12" x14ac:dyDescent="0.45">
      <c r="A392" s="3" t="s">
        <v>1195</v>
      </c>
      <c r="B392" s="3" t="s">
        <v>1263</v>
      </c>
      <c r="C392" s="3" t="s">
        <v>210</v>
      </c>
      <c r="D392" s="9">
        <v>304</v>
      </c>
      <c r="E392" s="3"/>
      <c r="F392" s="3"/>
      <c r="G392" s="9"/>
      <c r="H392" s="10">
        <v>45668.877291666657</v>
      </c>
      <c r="I392" s="10">
        <v>45668.880069444444</v>
      </c>
      <c r="J392" s="10">
        <v>45668.887673611112</v>
      </c>
      <c r="K392" s="11">
        <v>7.6041666666666671E-3</v>
      </c>
      <c r="L392" s="13">
        <v>2</v>
      </c>
    </row>
    <row r="393" spans="1:12" x14ac:dyDescent="0.45">
      <c r="A393" s="3" t="s">
        <v>1195</v>
      </c>
      <c r="B393" s="3" t="s">
        <v>1264</v>
      </c>
      <c r="C393" s="3" t="s">
        <v>211</v>
      </c>
      <c r="D393" s="9">
        <v>160</v>
      </c>
      <c r="E393" s="3"/>
      <c r="F393" s="3"/>
      <c r="G393" s="9"/>
      <c r="H393" s="10">
        <v>45668.981122685182</v>
      </c>
      <c r="I393" s="10">
        <v>45668.983900462961</v>
      </c>
      <c r="J393" s="10">
        <v>45668.986273148148</v>
      </c>
      <c r="K393" s="11">
        <v>2.3726851851851851E-3</v>
      </c>
      <c r="L393" s="13">
        <v>1</v>
      </c>
    </row>
    <row r="394" spans="1:12" x14ac:dyDescent="0.45">
      <c r="A394" s="3" t="s">
        <v>1195</v>
      </c>
      <c r="B394" s="3" t="s">
        <v>1265</v>
      </c>
      <c r="C394" s="3" t="s">
        <v>212</v>
      </c>
      <c r="D394" s="9">
        <v>208</v>
      </c>
      <c r="E394" s="3"/>
      <c r="F394" s="3"/>
      <c r="G394" s="9"/>
      <c r="H394" s="10">
        <v>45669.335405092592</v>
      </c>
      <c r="I394" s="10">
        <v>45669.338182870371</v>
      </c>
      <c r="J394" s="10">
        <v>45669.345983796287</v>
      </c>
      <c r="K394" s="11">
        <v>7.8009259259259264E-3</v>
      </c>
      <c r="L394" s="13">
        <v>3</v>
      </c>
    </row>
    <row r="395" spans="1:12" x14ac:dyDescent="0.45">
      <c r="A395" s="3" t="s">
        <v>1195</v>
      </c>
      <c r="B395" s="3" t="s">
        <v>1266</v>
      </c>
      <c r="C395" s="3" t="s">
        <v>213</v>
      </c>
      <c r="D395" s="9">
        <v>176</v>
      </c>
      <c r="E395" s="3"/>
      <c r="F395" s="3"/>
      <c r="G395" s="9"/>
      <c r="H395" s="10">
        <v>45669.394363425927</v>
      </c>
      <c r="I395" s="10">
        <v>45669.397141203714</v>
      </c>
      <c r="J395" s="10">
        <v>45669.402349537027</v>
      </c>
      <c r="K395" s="11">
        <v>5.208333333333333E-3</v>
      </c>
      <c r="L395" s="13">
        <v>2</v>
      </c>
    </row>
    <row r="396" spans="1:12" x14ac:dyDescent="0.45">
      <c r="A396" s="3" t="s">
        <v>1195</v>
      </c>
      <c r="B396" s="3" t="s">
        <v>1267</v>
      </c>
      <c r="C396" s="3" t="s">
        <v>214</v>
      </c>
      <c r="D396" s="9">
        <v>128</v>
      </c>
      <c r="E396" s="3"/>
      <c r="F396" s="3"/>
      <c r="G396" s="9"/>
      <c r="H396" s="10">
        <v>45669.424108796287</v>
      </c>
      <c r="I396" s="10">
        <v>45669.426886574067</v>
      </c>
      <c r="J396" s="10">
        <v>45669.430092592593</v>
      </c>
      <c r="K396" s="11">
        <v>3.2060185185185191E-3</v>
      </c>
      <c r="L396" s="13">
        <v>2</v>
      </c>
    </row>
    <row r="397" spans="1:12" x14ac:dyDescent="0.45">
      <c r="A397" s="3" t="s">
        <v>1195</v>
      </c>
      <c r="B397" s="3" t="s">
        <v>1268</v>
      </c>
      <c r="C397" s="3" t="s">
        <v>215</v>
      </c>
      <c r="D397" s="9">
        <v>176</v>
      </c>
      <c r="E397" s="3"/>
      <c r="F397" s="3"/>
      <c r="G397" s="9"/>
      <c r="H397" s="10">
        <v>45669.459641203714</v>
      </c>
      <c r="I397" s="10">
        <v>45669.462418981479</v>
      </c>
      <c r="J397" s="10">
        <v>45669.467627314807</v>
      </c>
      <c r="K397" s="11">
        <v>5.208333333333333E-3</v>
      </c>
      <c r="L397" s="13">
        <v>2</v>
      </c>
    </row>
    <row r="398" spans="1:12" x14ac:dyDescent="0.45">
      <c r="A398" s="3" t="s">
        <v>1195</v>
      </c>
      <c r="B398" s="3" t="s">
        <v>1269</v>
      </c>
      <c r="C398" s="3" t="s">
        <v>216</v>
      </c>
      <c r="D398" s="9">
        <v>176</v>
      </c>
      <c r="E398" s="3"/>
      <c r="F398" s="3"/>
      <c r="G398" s="9"/>
      <c r="H398" s="10">
        <v>45669.493668981479</v>
      </c>
      <c r="I398" s="10">
        <v>45669.496446759258</v>
      </c>
      <c r="J398" s="10">
        <v>45669.500844907408</v>
      </c>
      <c r="K398" s="11">
        <v>4.3981481481481484E-3</v>
      </c>
      <c r="L398" s="13">
        <v>2</v>
      </c>
    </row>
    <row r="399" spans="1:12" x14ac:dyDescent="0.45">
      <c r="A399" s="3" t="s">
        <v>1195</v>
      </c>
      <c r="B399" s="3" t="s">
        <v>1270</v>
      </c>
      <c r="C399" s="3" t="s">
        <v>217</v>
      </c>
      <c r="D399" s="9">
        <v>144</v>
      </c>
      <c r="E399" s="3"/>
      <c r="F399" s="3"/>
      <c r="G399" s="9"/>
      <c r="H399" s="10">
        <v>45669.668587962973</v>
      </c>
      <c r="I399" s="10">
        <v>45669.671365740738</v>
      </c>
      <c r="J399" s="10">
        <v>45669.675636574073</v>
      </c>
      <c r="K399" s="11">
        <v>4.2708333333333331E-3</v>
      </c>
      <c r="L399" s="13">
        <v>2</v>
      </c>
    </row>
    <row r="400" spans="1:12" x14ac:dyDescent="0.45">
      <c r="A400" s="3" t="s">
        <v>1195</v>
      </c>
      <c r="B400" s="3" t="s">
        <v>1271</v>
      </c>
      <c r="C400" s="3" t="s">
        <v>218</v>
      </c>
      <c r="D400" s="9">
        <v>160</v>
      </c>
      <c r="E400" s="3"/>
      <c r="F400" s="3"/>
      <c r="G400" s="9"/>
      <c r="H400" s="10">
        <v>45669.793622685182</v>
      </c>
      <c r="I400" s="10">
        <v>45669.796400462961</v>
      </c>
      <c r="J400" s="10">
        <v>45669.798402777778</v>
      </c>
      <c r="K400" s="11">
        <v>2.0023148148148148E-3</v>
      </c>
      <c r="L400" s="13">
        <v>1</v>
      </c>
    </row>
    <row r="401" spans="1:12" x14ac:dyDescent="0.45">
      <c r="A401" s="3" t="s">
        <v>1195</v>
      </c>
      <c r="B401" s="3" t="s">
        <v>1272</v>
      </c>
      <c r="C401" s="3" t="s">
        <v>219</v>
      </c>
      <c r="D401" s="9">
        <v>224</v>
      </c>
      <c r="E401" s="3"/>
      <c r="F401" s="3"/>
      <c r="G401" s="9"/>
      <c r="H401" s="10">
        <v>45669.918773148151</v>
      </c>
      <c r="I401" s="10">
        <v>45669.921550925923</v>
      </c>
      <c r="J401" s="10">
        <v>45669.924872685187</v>
      </c>
      <c r="K401" s="11">
        <v>3.3217592592592591E-3</v>
      </c>
      <c r="L401" s="13">
        <v>0</v>
      </c>
    </row>
    <row r="402" spans="1:12" x14ac:dyDescent="0.45">
      <c r="A402" s="3" t="s">
        <v>1273</v>
      </c>
      <c r="B402" s="3" t="s">
        <v>1274</v>
      </c>
      <c r="C402" s="3" t="s">
        <v>244</v>
      </c>
      <c r="D402" s="9">
        <v>112</v>
      </c>
      <c r="E402" s="3"/>
      <c r="F402" s="3"/>
      <c r="G402" s="9"/>
      <c r="H402" s="10">
        <v>45663.229571759257</v>
      </c>
      <c r="I402" s="10">
        <v>45663.231180555558</v>
      </c>
      <c r="J402" s="10">
        <v>45663.250625000001</v>
      </c>
      <c r="K402" s="11">
        <v>1.9444444444444441E-2</v>
      </c>
      <c r="L402" s="13"/>
    </row>
    <row r="403" spans="1:12" x14ac:dyDescent="0.45">
      <c r="A403" s="3" t="s">
        <v>1273</v>
      </c>
      <c r="B403" s="3" t="s">
        <v>1275</v>
      </c>
      <c r="C403" s="3" t="s">
        <v>232</v>
      </c>
      <c r="D403" s="9">
        <v>112</v>
      </c>
      <c r="E403" s="3"/>
      <c r="F403" s="3"/>
      <c r="G403" s="9"/>
      <c r="H403" s="10">
        <v>45663.237685185188</v>
      </c>
      <c r="I403" s="10">
        <v>45663.23847222222</v>
      </c>
      <c r="J403" s="10">
        <v>45663.257916666669</v>
      </c>
      <c r="K403" s="11">
        <v>1.9444444444444441E-2</v>
      </c>
      <c r="L403" s="13"/>
    </row>
    <row r="404" spans="1:12" x14ac:dyDescent="0.45">
      <c r="A404" s="3" t="s">
        <v>1273</v>
      </c>
      <c r="B404" s="3" t="s">
        <v>1276</v>
      </c>
      <c r="C404" s="3" t="s">
        <v>256</v>
      </c>
      <c r="D404" s="9">
        <v>160</v>
      </c>
      <c r="E404" s="3"/>
      <c r="F404" s="3"/>
      <c r="G404" s="9"/>
      <c r="H404" s="10">
        <v>45663.334340277783</v>
      </c>
      <c r="I404" s="10">
        <v>45663.335185185177</v>
      </c>
      <c r="J404" s="10">
        <v>45663.362962962958</v>
      </c>
      <c r="K404" s="11">
        <v>2.777777777777778E-2</v>
      </c>
      <c r="L404" s="13"/>
    </row>
    <row r="405" spans="1:12" x14ac:dyDescent="0.45">
      <c r="A405" s="3" t="s">
        <v>1273</v>
      </c>
      <c r="B405" s="3" t="s">
        <v>1277</v>
      </c>
      <c r="C405" s="3" t="s">
        <v>241</v>
      </c>
      <c r="D405" s="9">
        <v>128</v>
      </c>
      <c r="E405" s="3"/>
      <c r="F405" s="3"/>
      <c r="G405" s="9"/>
      <c r="H405" s="10">
        <v>45663.63653935185</v>
      </c>
      <c r="I405" s="10">
        <v>45663.637407407397</v>
      </c>
      <c r="J405" s="10">
        <v>45663.659629629627</v>
      </c>
      <c r="K405" s="11">
        <v>2.222222222222222E-2</v>
      </c>
      <c r="L405" s="13"/>
    </row>
    <row r="406" spans="1:12" x14ac:dyDescent="0.45">
      <c r="A406" s="3" t="s">
        <v>1273</v>
      </c>
      <c r="B406" s="3" t="s">
        <v>1278</v>
      </c>
      <c r="C406" s="3" t="s">
        <v>264</v>
      </c>
      <c r="D406" s="9">
        <v>176</v>
      </c>
      <c r="E406" s="3"/>
      <c r="F406" s="3"/>
      <c r="G406" s="9"/>
      <c r="H406" s="10">
        <v>45663.636770833327</v>
      </c>
      <c r="I406" s="10">
        <v>45663.637638888889</v>
      </c>
      <c r="J406" s="10">
        <v>45663.668194444443</v>
      </c>
      <c r="K406" s="11">
        <v>3.0555555555555551E-2</v>
      </c>
      <c r="L406" s="13"/>
    </row>
    <row r="407" spans="1:12" x14ac:dyDescent="0.45">
      <c r="A407" s="3" t="s">
        <v>1273</v>
      </c>
      <c r="B407" s="3" t="s">
        <v>1279</v>
      </c>
      <c r="C407" s="3" t="s">
        <v>248</v>
      </c>
      <c r="D407" s="9">
        <v>144</v>
      </c>
      <c r="E407" s="3"/>
      <c r="F407" s="3"/>
      <c r="G407" s="9"/>
      <c r="H407" s="10">
        <v>45664.267048611109</v>
      </c>
      <c r="I407" s="10">
        <v>45664.267893518518</v>
      </c>
      <c r="J407" s="10">
        <v>45664.292893518519</v>
      </c>
      <c r="K407" s="11">
        <v>2.5000000000000001E-2</v>
      </c>
      <c r="L407" s="13"/>
    </row>
    <row r="408" spans="1:12" x14ac:dyDescent="0.45">
      <c r="A408" s="3" t="s">
        <v>1273</v>
      </c>
      <c r="B408" s="3" t="s">
        <v>1280</v>
      </c>
      <c r="C408" s="3" t="s">
        <v>238</v>
      </c>
      <c r="D408" s="9">
        <v>192</v>
      </c>
      <c r="E408" s="3"/>
      <c r="F408" s="3"/>
      <c r="G408" s="9"/>
      <c r="H408" s="10">
        <v>45664.271087962959</v>
      </c>
      <c r="I408" s="10">
        <v>45664.272824074083</v>
      </c>
      <c r="J408" s="10">
        <v>45664.306157407409</v>
      </c>
      <c r="K408" s="11">
        <v>3.3333333333333333E-2</v>
      </c>
      <c r="L408" s="13"/>
    </row>
    <row r="409" spans="1:12" x14ac:dyDescent="0.45">
      <c r="A409" s="3" t="s">
        <v>1273</v>
      </c>
      <c r="B409" s="3" t="s">
        <v>1281</v>
      </c>
      <c r="C409" s="3" t="s">
        <v>284</v>
      </c>
      <c r="D409" s="9">
        <v>128</v>
      </c>
      <c r="E409" s="3"/>
      <c r="F409" s="3"/>
      <c r="G409" s="9"/>
      <c r="H409" s="10">
        <v>45664.28125</v>
      </c>
      <c r="I409" s="10">
        <v>45664.307893518519</v>
      </c>
      <c r="J409" s="10">
        <v>45664.33011574074</v>
      </c>
      <c r="K409" s="11">
        <v>2.222222222222222E-2</v>
      </c>
      <c r="L409" s="13"/>
    </row>
    <row r="410" spans="1:12" x14ac:dyDescent="0.45">
      <c r="A410" s="3" t="s">
        <v>1273</v>
      </c>
      <c r="B410" s="3" t="s">
        <v>1282</v>
      </c>
      <c r="C410" s="3" t="s">
        <v>292</v>
      </c>
      <c r="D410" s="9">
        <v>112</v>
      </c>
      <c r="E410" s="3"/>
      <c r="F410" s="3"/>
      <c r="G410" s="9"/>
      <c r="H410" s="10">
        <v>45664.296180555553</v>
      </c>
      <c r="I410" s="10">
        <v>45664.310671296298</v>
      </c>
      <c r="J410" s="10">
        <v>45664.33011574074</v>
      </c>
      <c r="K410" s="11">
        <v>1.9444444444444441E-2</v>
      </c>
      <c r="L410" s="13"/>
    </row>
    <row r="411" spans="1:12" x14ac:dyDescent="0.45">
      <c r="A411" s="3" t="s">
        <v>1273</v>
      </c>
      <c r="B411" s="3" t="s">
        <v>1283</v>
      </c>
      <c r="C411" s="3" t="s">
        <v>289</v>
      </c>
      <c r="D411" s="9">
        <v>144</v>
      </c>
      <c r="E411" s="3"/>
      <c r="F411" s="3"/>
      <c r="G411" s="9"/>
      <c r="H411" s="10">
        <v>45664.298263888893</v>
      </c>
      <c r="I411" s="10">
        <v>45664.315694444442</v>
      </c>
      <c r="J411" s="10">
        <v>45664.340694444443</v>
      </c>
      <c r="K411" s="11">
        <v>2.5000000000000001E-2</v>
      </c>
      <c r="L411" s="13"/>
    </row>
    <row r="412" spans="1:12" x14ac:dyDescent="0.45">
      <c r="A412" s="3" t="s">
        <v>1273</v>
      </c>
      <c r="B412" s="3" t="s">
        <v>1284</v>
      </c>
      <c r="C412" s="3" t="s">
        <v>302</v>
      </c>
      <c r="D412" s="9">
        <v>144</v>
      </c>
      <c r="E412" s="3"/>
      <c r="F412" s="3"/>
      <c r="G412" s="9"/>
      <c r="H412" s="10">
        <v>45664.309062499997</v>
      </c>
      <c r="I412" s="10">
        <v>45664.331793981481</v>
      </c>
      <c r="J412" s="10">
        <v>45664.356793981482</v>
      </c>
      <c r="K412" s="11">
        <v>2.5000000000000001E-2</v>
      </c>
      <c r="L412" s="13"/>
    </row>
    <row r="413" spans="1:12" x14ac:dyDescent="0.45">
      <c r="A413" s="3" t="s">
        <v>1273</v>
      </c>
      <c r="B413" s="3" t="s">
        <v>1285</v>
      </c>
      <c r="C413" s="3" t="s">
        <v>299</v>
      </c>
      <c r="D413" s="9">
        <v>144</v>
      </c>
      <c r="E413" s="3"/>
      <c r="F413" s="3"/>
      <c r="G413" s="9"/>
      <c r="H413" s="10">
        <v>45664.313958333332</v>
      </c>
      <c r="I413" s="10">
        <v>45664.33185185185</v>
      </c>
      <c r="J413" s="10">
        <v>45664.356851851851</v>
      </c>
      <c r="K413" s="11">
        <v>2.5000000000000001E-2</v>
      </c>
      <c r="L413" s="13"/>
    </row>
    <row r="414" spans="1:12" x14ac:dyDescent="0.45">
      <c r="A414" s="3" t="s">
        <v>1273</v>
      </c>
      <c r="B414" s="3" t="s">
        <v>1286</v>
      </c>
      <c r="C414" s="3" t="s">
        <v>320</v>
      </c>
      <c r="D414" s="9">
        <v>128</v>
      </c>
      <c r="E414" s="3"/>
      <c r="F414" s="3"/>
      <c r="G414" s="9"/>
      <c r="H414" s="10">
        <v>45664.559664351851</v>
      </c>
      <c r="I414" s="10">
        <v>45664.56045138889</v>
      </c>
      <c r="J414" s="10">
        <v>45664.582673611112</v>
      </c>
      <c r="K414" s="11">
        <v>2.222222222222222E-2</v>
      </c>
      <c r="L414" s="13"/>
    </row>
    <row r="415" spans="1:12" x14ac:dyDescent="0.45">
      <c r="A415" s="3" t="s">
        <v>1273</v>
      </c>
      <c r="B415" s="3" t="s">
        <v>1287</v>
      </c>
      <c r="C415" s="3" t="s">
        <v>305</v>
      </c>
      <c r="D415" s="9">
        <v>176</v>
      </c>
      <c r="E415" s="3"/>
      <c r="F415" s="3"/>
      <c r="G415" s="9"/>
      <c r="H415" s="10">
        <v>45664.704375000001</v>
      </c>
      <c r="I415" s="10">
        <v>45664.705243055563</v>
      </c>
      <c r="J415" s="10">
        <v>45664.735798611109</v>
      </c>
      <c r="K415" s="11">
        <v>3.0555555555555551E-2</v>
      </c>
      <c r="L415" s="13"/>
    </row>
    <row r="416" spans="1:12" x14ac:dyDescent="0.45">
      <c r="A416" s="3" t="s">
        <v>1273</v>
      </c>
      <c r="B416" s="3" t="s">
        <v>1288</v>
      </c>
      <c r="C416" s="3" t="s">
        <v>331</v>
      </c>
      <c r="D416" s="9">
        <v>128</v>
      </c>
      <c r="E416" s="3"/>
      <c r="F416" s="3"/>
      <c r="G416" s="9"/>
      <c r="H416" s="10">
        <v>45665.253622685188</v>
      </c>
      <c r="I416" s="10">
        <v>45665.254490740743</v>
      </c>
      <c r="J416" s="10">
        <v>45665.276712962957</v>
      </c>
      <c r="K416" s="11">
        <v>2.222222222222222E-2</v>
      </c>
      <c r="L416" s="13"/>
    </row>
    <row r="417" spans="1:12" x14ac:dyDescent="0.45">
      <c r="A417" s="3" t="s">
        <v>1273</v>
      </c>
      <c r="B417" s="3" t="s">
        <v>1289</v>
      </c>
      <c r="C417" s="3" t="s">
        <v>334</v>
      </c>
      <c r="D417" s="9">
        <v>128</v>
      </c>
      <c r="E417" s="3"/>
      <c r="F417" s="3"/>
      <c r="G417" s="9"/>
      <c r="H417" s="10">
        <v>45665.254583333342</v>
      </c>
      <c r="I417" s="10">
        <v>45665.25545138889</v>
      </c>
      <c r="J417" s="10">
        <v>45665.277673611112</v>
      </c>
      <c r="K417" s="11">
        <v>2.222222222222222E-2</v>
      </c>
      <c r="L417" s="13"/>
    </row>
    <row r="418" spans="1:12" x14ac:dyDescent="0.45">
      <c r="A418" s="3" t="s">
        <v>1273</v>
      </c>
      <c r="B418" s="3" t="s">
        <v>1290</v>
      </c>
      <c r="C418" s="3" t="s">
        <v>355</v>
      </c>
      <c r="D418" s="9">
        <v>176</v>
      </c>
      <c r="E418" s="3"/>
      <c r="F418" s="3"/>
      <c r="G418" s="9"/>
      <c r="H418" s="10">
        <v>45665.393368055556</v>
      </c>
      <c r="I418" s="10">
        <v>45665.394733796304</v>
      </c>
      <c r="J418" s="10">
        <v>45665.42528935185</v>
      </c>
      <c r="K418" s="11">
        <v>3.0555555555555551E-2</v>
      </c>
      <c r="L418" s="13"/>
    </row>
    <row r="419" spans="1:12" x14ac:dyDescent="0.45">
      <c r="A419" s="3" t="s">
        <v>1273</v>
      </c>
      <c r="B419" s="3" t="s">
        <v>1291</v>
      </c>
      <c r="C419" s="3" t="s">
        <v>345</v>
      </c>
      <c r="D419" s="9">
        <v>240</v>
      </c>
      <c r="E419" s="3"/>
      <c r="F419" s="3"/>
      <c r="G419" s="9"/>
      <c r="H419" s="10">
        <v>45665.403715277767</v>
      </c>
      <c r="I419" s="10">
        <v>45665.404583333337</v>
      </c>
      <c r="J419" s="10">
        <v>45665.446250000001</v>
      </c>
      <c r="K419" s="11">
        <v>4.1666666666666657E-2</v>
      </c>
      <c r="L419" s="13"/>
    </row>
    <row r="420" spans="1:12" x14ac:dyDescent="0.45">
      <c r="A420" s="3" t="s">
        <v>1273</v>
      </c>
      <c r="B420" s="3" t="s">
        <v>1292</v>
      </c>
      <c r="C420" s="3" t="s">
        <v>378</v>
      </c>
      <c r="D420" s="9">
        <v>160</v>
      </c>
      <c r="E420" s="3"/>
      <c r="F420" s="3"/>
      <c r="G420" s="9"/>
      <c r="H420" s="10">
        <v>45665.421481481477</v>
      </c>
      <c r="I420" s="10">
        <v>45665.429837962962</v>
      </c>
      <c r="J420" s="10">
        <v>45665.457615740743</v>
      </c>
      <c r="K420" s="11">
        <v>2.777777777777778E-2</v>
      </c>
      <c r="L420" s="13"/>
    </row>
    <row r="421" spans="1:12" x14ac:dyDescent="0.45">
      <c r="A421" s="3" t="s">
        <v>1273</v>
      </c>
      <c r="B421" s="3" t="s">
        <v>1293</v>
      </c>
      <c r="C421" s="3" t="s">
        <v>385</v>
      </c>
      <c r="D421" s="9">
        <v>160</v>
      </c>
      <c r="E421" s="3"/>
      <c r="F421" s="3"/>
      <c r="G421" s="9"/>
      <c r="H421" s="10">
        <v>45665.433541666673</v>
      </c>
      <c r="I421" s="10">
        <v>45665.44798611111</v>
      </c>
      <c r="J421" s="10">
        <v>45665.475763888891</v>
      </c>
      <c r="K421" s="11">
        <v>2.777777777777778E-2</v>
      </c>
      <c r="L421" s="13"/>
    </row>
    <row r="422" spans="1:12" x14ac:dyDescent="0.45">
      <c r="A422" s="3" t="s">
        <v>1273</v>
      </c>
      <c r="B422" s="3" t="s">
        <v>1294</v>
      </c>
      <c r="C422" s="3" t="s">
        <v>375</v>
      </c>
      <c r="D422" s="9">
        <v>208</v>
      </c>
      <c r="E422" s="3"/>
      <c r="F422" s="3"/>
      <c r="G422" s="9"/>
      <c r="H422" s="10">
        <v>45665.454467592594</v>
      </c>
      <c r="I422" s="10">
        <v>45665.456053240741</v>
      </c>
      <c r="J422" s="10">
        <v>45665.492164351846</v>
      </c>
      <c r="K422" s="11">
        <v>3.6111111111111108E-2</v>
      </c>
      <c r="L422" s="13"/>
    </row>
    <row r="423" spans="1:12" x14ac:dyDescent="0.45">
      <c r="A423" s="3" t="s">
        <v>1273</v>
      </c>
      <c r="B423" s="3" t="s">
        <v>1295</v>
      </c>
      <c r="C423" s="3" t="s">
        <v>398</v>
      </c>
      <c r="D423" s="9">
        <v>128</v>
      </c>
      <c r="E423" s="3"/>
      <c r="F423" s="3"/>
      <c r="G423" s="9"/>
      <c r="H423" s="10">
        <v>45665.611238425918</v>
      </c>
      <c r="I423" s="10">
        <v>45665.61210648148</v>
      </c>
      <c r="J423" s="10">
        <v>45665.634328703702</v>
      </c>
      <c r="K423" s="11">
        <v>2.222222222222222E-2</v>
      </c>
      <c r="L423" s="13"/>
    </row>
    <row r="424" spans="1:12" x14ac:dyDescent="0.45">
      <c r="A424" s="3" t="s">
        <v>1273</v>
      </c>
      <c r="B424" s="3" t="s">
        <v>1296</v>
      </c>
      <c r="C424" s="3" t="s">
        <v>358</v>
      </c>
      <c r="D424" s="9">
        <v>144</v>
      </c>
      <c r="E424" s="3"/>
      <c r="F424" s="3"/>
      <c r="G424" s="9"/>
      <c r="H424" s="10">
        <v>45665.614490740743</v>
      </c>
      <c r="I424" s="10">
        <v>45665.615358796298</v>
      </c>
      <c r="J424" s="10">
        <v>45665.6403587963</v>
      </c>
      <c r="K424" s="11">
        <v>2.5000000000000001E-2</v>
      </c>
      <c r="L424" s="13"/>
    </row>
    <row r="425" spans="1:12" x14ac:dyDescent="0.45">
      <c r="A425" s="3" t="s">
        <v>1273</v>
      </c>
      <c r="B425" s="3" t="s">
        <v>1297</v>
      </c>
      <c r="C425" s="3" t="s">
        <v>407</v>
      </c>
      <c r="D425" s="9">
        <v>112</v>
      </c>
      <c r="E425" s="3"/>
      <c r="F425" s="3"/>
      <c r="G425" s="9"/>
      <c r="H425" s="10">
        <v>45665.767060185193</v>
      </c>
      <c r="I425" s="10">
        <v>45665.767893518518</v>
      </c>
      <c r="J425" s="10">
        <v>45665.78733796296</v>
      </c>
      <c r="K425" s="11">
        <v>1.9444444444444441E-2</v>
      </c>
      <c r="L425" s="13"/>
    </row>
    <row r="426" spans="1:12" x14ac:dyDescent="0.45">
      <c r="A426" s="3" t="s">
        <v>1273</v>
      </c>
      <c r="B426" s="3" t="s">
        <v>1298</v>
      </c>
      <c r="C426" s="3" t="s">
        <v>412</v>
      </c>
      <c r="D426" s="9">
        <v>256</v>
      </c>
      <c r="E426" s="3"/>
      <c r="F426" s="3"/>
      <c r="G426" s="9"/>
      <c r="H426" s="10">
        <v>45665.919918981483</v>
      </c>
      <c r="I426" s="10">
        <v>45665.920763888891</v>
      </c>
      <c r="J426" s="10">
        <v>45665.965208333328</v>
      </c>
      <c r="K426" s="11">
        <v>4.4444444444444453E-2</v>
      </c>
      <c r="L426" s="13"/>
    </row>
    <row r="427" spans="1:12" x14ac:dyDescent="0.45">
      <c r="A427" s="3" t="s">
        <v>1273</v>
      </c>
      <c r="B427" s="3" t="s">
        <v>1299</v>
      </c>
      <c r="C427" s="3" t="s">
        <v>431</v>
      </c>
      <c r="D427" s="9">
        <v>176</v>
      </c>
      <c r="E427" s="3"/>
      <c r="F427" s="3"/>
      <c r="G427" s="9"/>
      <c r="H427" s="10">
        <v>45666.238599537042</v>
      </c>
      <c r="I427" s="10">
        <v>45666.23946759259</v>
      </c>
      <c r="J427" s="10">
        <v>45666.27002314815</v>
      </c>
      <c r="K427" s="11">
        <v>3.0555555555555551E-2</v>
      </c>
      <c r="L427" s="13"/>
    </row>
    <row r="428" spans="1:12" x14ac:dyDescent="0.45">
      <c r="A428" s="3" t="s">
        <v>1273</v>
      </c>
      <c r="B428" s="3" t="s">
        <v>1300</v>
      </c>
      <c r="C428" s="3" t="s">
        <v>423</v>
      </c>
      <c r="D428" s="9">
        <v>144</v>
      </c>
      <c r="E428" s="3"/>
      <c r="F428" s="3"/>
      <c r="G428" s="9"/>
      <c r="H428" s="10">
        <v>45666.243206018517</v>
      </c>
      <c r="I428" s="10">
        <v>45666.27175925926</v>
      </c>
      <c r="J428" s="10">
        <v>45666.296759259261</v>
      </c>
      <c r="K428" s="11">
        <v>2.5000000000000001E-2</v>
      </c>
      <c r="L428" s="13"/>
    </row>
    <row r="429" spans="1:12" x14ac:dyDescent="0.45">
      <c r="A429" s="3" t="s">
        <v>1273</v>
      </c>
      <c r="B429" s="3" t="s">
        <v>1301</v>
      </c>
      <c r="C429" s="3" t="s">
        <v>440</v>
      </c>
      <c r="D429" s="9">
        <v>224</v>
      </c>
      <c r="E429" s="3"/>
      <c r="F429" s="3"/>
      <c r="G429" s="9"/>
      <c r="H429" s="10">
        <v>45666.264606481483</v>
      </c>
      <c r="I429" s="10">
        <v>45666.277777777781</v>
      </c>
      <c r="J429" s="10">
        <v>45666.316666666673</v>
      </c>
      <c r="K429" s="11">
        <v>3.888888888888889E-2</v>
      </c>
      <c r="L429" s="13"/>
    </row>
    <row r="430" spans="1:12" x14ac:dyDescent="0.45">
      <c r="A430" s="3" t="s">
        <v>1273</v>
      </c>
      <c r="B430" s="3" t="s">
        <v>1302</v>
      </c>
      <c r="C430" s="3" t="s">
        <v>428</v>
      </c>
      <c r="D430" s="9">
        <v>240</v>
      </c>
      <c r="E430" s="3"/>
      <c r="F430" s="3"/>
      <c r="G430" s="9"/>
      <c r="H430" s="10">
        <v>45666.269976851851</v>
      </c>
      <c r="I430" s="10">
        <v>45666.282106481478</v>
      </c>
      <c r="J430" s="10">
        <v>45666.323773148149</v>
      </c>
      <c r="K430" s="11">
        <v>4.1666666666666657E-2</v>
      </c>
      <c r="L430" s="13"/>
    </row>
    <row r="431" spans="1:12" x14ac:dyDescent="0.45">
      <c r="A431" s="3" t="s">
        <v>1273</v>
      </c>
      <c r="B431" s="3" t="s">
        <v>1303</v>
      </c>
      <c r="C431" s="3" t="s">
        <v>475</v>
      </c>
      <c r="D431" s="9">
        <v>128</v>
      </c>
      <c r="E431" s="3"/>
      <c r="F431" s="3"/>
      <c r="G431" s="9"/>
      <c r="H431" s="10">
        <v>45666.278877314813</v>
      </c>
      <c r="I431" s="10">
        <v>45666.298495370371</v>
      </c>
      <c r="J431" s="10">
        <v>45666.320717592593</v>
      </c>
      <c r="K431" s="11">
        <v>2.222222222222222E-2</v>
      </c>
      <c r="L431" s="13"/>
    </row>
    <row r="432" spans="1:12" x14ac:dyDescent="0.45">
      <c r="A432" s="3" t="s">
        <v>1273</v>
      </c>
      <c r="B432" s="3" t="s">
        <v>1304</v>
      </c>
      <c r="C432" s="3" t="s">
        <v>468</v>
      </c>
      <c r="D432" s="9">
        <v>160</v>
      </c>
      <c r="E432" s="3"/>
      <c r="F432" s="3"/>
      <c r="G432" s="9"/>
      <c r="H432" s="10">
        <v>45666.280486111107</v>
      </c>
      <c r="I432" s="10">
        <v>45666.318356481483</v>
      </c>
      <c r="J432" s="10">
        <v>45666.346134259264</v>
      </c>
      <c r="K432" s="11">
        <v>2.777777777777778E-2</v>
      </c>
      <c r="L432" s="13"/>
    </row>
    <row r="433" spans="1:12" x14ac:dyDescent="0.45">
      <c r="A433" s="3" t="s">
        <v>1273</v>
      </c>
      <c r="B433" s="3" t="s">
        <v>1305</v>
      </c>
      <c r="C433" s="3" t="s">
        <v>483</v>
      </c>
      <c r="D433" s="9">
        <v>128</v>
      </c>
      <c r="E433" s="3"/>
      <c r="F433" s="3"/>
      <c r="G433" s="9"/>
      <c r="H433" s="10">
        <v>45666.475416666668</v>
      </c>
      <c r="I433" s="10">
        <v>45666.477060185192</v>
      </c>
      <c r="J433" s="10">
        <v>45666.499282407407</v>
      </c>
      <c r="K433" s="11">
        <v>2.222222222222222E-2</v>
      </c>
      <c r="L433" s="13"/>
    </row>
    <row r="434" spans="1:12" x14ac:dyDescent="0.45">
      <c r="A434" s="3" t="s">
        <v>1273</v>
      </c>
      <c r="B434" s="3" t="s">
        <v>1306</v>
      </c>
      <c r="C434" s="3" t="s">
        <v>490</v>
      </c>
      <c r="D434" s="9">
        <v>208</v>
      </c>
      <c r="E434" s="3"/>
      <c r="F434" s="3"/>
      <c r="G434" s="9"/>
      <c r="H434" s="10">
        <v>45666.484537037039</v>
      </c>
      <c r="I434" s="10">
        <v>45666.485405092593</v>
      </c>
      <c r="J434" s="10">
        <v>45666.521516203713</v>
      </c>
      <c r="K434" s="11">
        <v>3.6111111111111108E-2</v>
      </c>
      <c r="L434" s="13"/>
    </row>
    <row r="435" spans="1:12" x14ac:dyDescent="0.45">
      <c r="A435" s="3" t="s">
        <v>1273</v>
      </c>
      <c r="B435" s="3" t="s">
        <v>1307</v>
      </c>
      <c r="C435" s="3" t="s">
        <v>507</v>
      </c>
      <c r="D435" s="9">
        <v>208</v>
      </c>
      <c r="E435" s="3"/>
      <c r="F435" s="3"/>
      <c r="G435" s="9"/>
      <c r="H435" s="10">
        <v>45666.565347222233</v>
      </c>
      <c r="I435" s="10">
        <v>45666.56622685185</v>
      </c>
      <c r="J435" s="10">
        <v>45666.602337962962</v>
      </c>
      <c r="K435" s="11">
        <v>3.6111111111111108E-2</v>
      </c>
      <c r="L435" s="13"/>
    </row>
    <row r="436" spans="1:12" x14ac:dyDescent="0.45">
      <c r="A436" s="3" t="s">
        <v>1273</v>
      </c>
      <c r="B436" s="3" t="s">
        <v>1308</v>
      </c>
      <c r="C436" s="3" t="s">
        <v>502</v>
      </c>
      <c r="D436" s="9">
        <v>176</v>
      </c>
      <c r="E436" s="3"/>
      <c r="F436" s="3"/>
      <c r="G436" s="9"/>
      <c r="H436" s="10">
        <v>45666.570324074077</v>
      </c>
      <c r="I436" s="10">
        <v>45666.572187500002</v>
      </c>
      <c r="J436" s="10">
        <v>45666.602743055562</v>
      </c>
      <c r="K436" s="11">
        <v>3.0555555555555551E-2</v>
      </c>
      <c r="L436" s="13"/>
    </row>
    <row r="437" spans="1:12" x14ac:dyDescent="0.45">
      <c r="A437" s="3" t="s">
        <v>1273</v>
      </c>
      <c r="B437" s="3" t="s">
        <v>1309</v>
      </c>
      <c r="C437" s="3" t="s">
        <v>461</v>
      </c>
      <c r="D437" s="9">
        <v>144</v>
      </c>
      <c r="E437" s="3"/>
      <c r="F437" s="3"/>
      <c r="G437" s="9"/>
      <c r="H437" s="10">
        <v>45666.572048611109</v>
      </c>
      <c r="I437" s="10">
        <v>45666.577708333331</v>
      </c>
      <c r="J437" s="10">
        <v>45666.602708333332</v>
      </c>
      <c r="K437" s="11">
        <v>2.5000000000000001E-2</v>
      </c>
      <c r="L437" s="13"/>
    </row>
    <row r="438" spans="1:12" x14ac:dyDescent="0.45">
      <c r="A438" s="3" t="s">
        <v>1273</v>
      </c>
      <c r="B438" s="3" t="s">
        <v>1310</v>
      </c>
      <c r="C438" s="3" t="s">
        <v>495</v>
      </c>
      <c r="D438" s="9">
        <v>112</v>
      </c>
      <c r="E438" s="3"/>
      <c r="F438" s="3"/>
      <c r="G438" s="9"/>
      <c r="H438" s="10">
        <v>45666.575972222221</v>
      </c>
      <c r="I438" s="10">
        <v>45666.604444444441</v>
      </c>
      <c r="J438" s="10">
        <v>45666.623888888891</v>
      </c>
      <c r="K438" s="11">
        <v>1.9444444444444441E-2</v>
      </c>
      <c r="L438" s="13"/>
    </row>
    <row r="439" spans="1:12" x14ac:dyDescent="0.45">
      <c r="A439" s="3" t="s">
        <v>1273</v>
      </c>
      <c r="B439" s="3" t="s">
        <v>1311</v>
      </c>
      <c r="C439" s="3" t="s">
        <v>527</v>
      </c>
      <c r="D439" s="9">
        <v>144</v>
      </c>
      <c r="E439" s="3"/>
      <c r="F439" s="3"/>
      <c r="G439" s="9"/>
      <c r="H439" s="10">
        <v>45666.614548611113</v>
      </c>
      <c r="I439" s="10">
        <v>45666.616261574083</v>
      </c>
      <c r="J439" s="10">
        <v>45666.641261574077</v>
      </c>
      <c r="K439" s="11">
        <v>2.5000000000000001E-2</v>
      </c>
      <c r="L439" s="13"/>
    </row>
    <row r="440" spans="1:12" x14ac:dyDescent="0.45">
      <c r="A440" s="3" t="s">
        <v>1273</v>
      </c>
      <c r="B440" s="3" t="s">
        <v>1312</v>
      </c>
      <c r="C440" s="3" t="s">
        <v>530</v>
      </c>
      <c r="D440" s="9">
        <v>112</v>
      </c>
      <c r="E440" s="3"/>
      <c r="F440" s="3"/>
      <c r="G440" s="9"/>
      <c r="H440" s="10">
        <v>45666.617349537039</v>
      </c>
      <c r="I440" s="10">
        <v>45666.621469907397</v>
      </c>
      <c r="J440" s="10">
        <v>45666.640914351847</v>
      </c>
      <c r="K440" s="11">
        <v>1.9444444444444441E-2</v>
      </c>
      <c r="L440" s="13"/>
    </row>
    <row r="441" spans="1:12" x14ac:dyDescent="0.45">
      <c r="A441" s="3" t="s">
        <v>1273</v>
      </c>
      <c r="B441" s="3" t="s">
        <v>1313</v>
      </c>
      <c r="C441" s="3" t="s">
        <v>535</v>
      </c>
      <c r="D441" s="9">
        <v>128</v>
      </c>
      <c r="E441" s="3"/>
      <c r="F441" s="3"/>
      <c r="G441" s="9"/>
      <c r="H441" s="10">
        <v>45666.61990740741</v>
      </c>
      <c r="I441" s="10">
        <v>45666.625625000001</v>
      </c>
      <c r="J441" s="10">
        <v>45666.647847222222</v>
      </c>
      <c r="K441" s="11">
        <v>2.222222222222222E-2</v>
      </c>
      <c r="L441" s="13"/>
    </row>
    <row r="442" spans="1:12" x14ac:dyDescent="0.45">
      <c r="A442" s="3" t="s">
        <v>1273</v>
      </c>
      <c r="B442" s="3" t="s">
        <v>1314</v>
      </c>
      <c r="C442" s="3" t="s">
        <v>542</v>
      </c>
      <c r="D442" s="9">
        <v>144</v>
      </c>
      <c r="E442" s="3"/>
      <c r="F442" s="3"/>
      <c r="G442" s="9"/>
      <c r="H442" s="10">
        <v>45666.811932870369</v>
      </c>
      <c r="I442" s="10">
        <v>45666.816643518519</v>
      </c>
      <c r="J442" s="10">
        <v>45666.841643518521</v>
      </c>
      <c r="K442" s="11">
        <v>2.5000000000000001E-2</v>
      </c>
      <c r="L442" s="13"/>
    </row>
    <row r="443" spans="1:12" x14ac:dyDescent="0.45">
      <c r="A443" s="3" t="s">
        <v>1273</v>
      </c>
      <c r="B443" s="3" t="s">
        <v>1315</v>
      </c>
      <c r="C443" s="3" t="s">
        <v>547</v>
      </c>
      <c r="D443" s="9">
        <v>176</v>
      </c>
      <c r="E443" s="3"/>
      <c r="F443" s="3"/>
      <c r="G443" s="9"/>
      <c r="H443" s="10">
        <v>45666.823553240742</v>
      </c>
      <c r="I443" s="10">
        <v>45666.824421296304</v>
      </c>
      <c r="J443" s="10">
        <v>45666.85497685185</v>
      </c>
      <c r="K443" s="11">
        <v>3.0555555555555551E-2</v>
      </c>
      <c r="L443" s="13"/>
    </row>
    <row r="444" spans="1:12" x14ac:dyDescent="0.45">
      <c r="A444" s="3" t="s">
        <v>1273</v>
      </c>
      <c r="B444" s="3" t="s">
        <v>1316</v>
      </c>
      <c r="C444" s="3" t="s">
        <v>522</v>
      </c>
      <c r="D444" s="9">
        <v>192</v>
      </c>
      <c r="E444" s="3"/>
      <c r="F444" s="3"/>
      <c r="G444" s="9"/>
      <c r="H444" s="10">
        <v>45666.957453703697</v>
      </c>
      <c r="I444" s="10">
        <v>45666.958321759259</v>
      </c>
      <c r="J444" s="10">
        <v>45666.991655092592</v>
      </c>
      <c r="K444" s="11">
        <v>3.3333333333333333E-2</v>
      </c>
      <c r="L444" s="13"/>
    </row>
    <row r="445" spans="1:12" x14ac:dyDescent="0.45">
      <c r="A445" s="3" t="s">
        <v>1273</v>
      </c>
      <c r="B445" s="3" t="s">
        <v>1317</v>
      </c>
      <c r="C445" s="3" t="s">
        <v>351</v>
      </c>
      <c r="D445" s="9">
        <v>128</v>
      </c>
      <c r="E445" s="3"/>
      <c r="F445" s="3"/>
      <c r="G445" s="9"/>
      <c r="H445" s="10">
        <v>45667.337592592587</v>
      </c>
      <c r="I445" s="10">
        <v>45667.338460648149</v>
      </c>
      <c r="J445" s="10">
        <v>45667.360682870371</v>
      </c>
      <c r="K445" s="11">
        <v>2.222222222222222E-2</v>
      </c>
      <c r="L445" s="13"/>
    </row>
    <row r="446" spans="1:12" x14ac:dyDescent="0.45">
      <c r="A446" s="3" t="s">
        <v>1273</v>
      </c>
      <c r="B446" s="3" t="s">
        <v>1318</v>
      </c>
      <c r="C446" s="3" t="s">
        <v>567</v>
      </c>
      <c r="D446" s="9">
        <v>144</v>
      </c>
      <c r="E446" s="3"/>
      <c r="F446" s="3"/>
      <c r="G446" s="9"/>
      <c r="H446" s="10">
        <v>45667.399212962962</v>
      </c>
      <c r="I446" s="10">
        <v>45667.400069444448</v>
      </c>
      <c r="J446" s="10">
        <v>45667.425069444442</v>
      </c>
      <c r="K446" s="11">
        <v>2.5000000000000001E-2</v>
      </c>
      <c r="L446" s="13"/>
    </row>
    <row r="447" spans="1:12" x14ac:dyDescent="0.45">
      <c r="A447" s="3" t="s">
        <v>1273</v>
      </c>
      <c r="B447" s="3" t="s">
        <v>1319</v>
      </c>
      <c r="C447" s="3" t="s">
        <v>597</v>
      </c>
      <c r="D447" s="9">
        <v>128</v>
      </c>
      <c r="E447" s="3"/>
      <c r="F447" s="3"/>
      <c r="G447" s="9"/>
      <c r="H447" s="10">
        <v>45667.563078703701</v>
      </c>
      <c r="I447" s="10">
        <v>45667.568067129629</v>
      </c>
      <c r="J447" s="10">
        <v>45667.590289351851</v>
      </c>
      <c r="K447" s="11">
        <v>2.222222222222222E-2</v>
      </c>
      <c r="L447" s="13"/>
    </row>
    <row r="448" spans="1:12" x14ac:dyDescent="0.45">
      <c r="A448" s="3" t="s">
        <v>1273</v>
      </c>
      <c r="B448" s="3" t="s">
        <v>1320</v>
      </c>
      <c r="C448" s="3" t="s">
        <v>580</v>
      </c>
      <c r="D448" s="9">
        <v>128</v>
      </c>
      <c r="E448" s="3"/>
      <c r="F448" s="3"/>
      <c r="G448" s="9"/>
      <c r="H448" s="10">
        <v>45667.566377314812</v>
      </c>
      <c r="I448" s="10">
        <v>45667.570462962962</v>
      </c>
      <c r="J448" s="10">
        <v>45667.592685185176</v>
      </c>
      <c r="K448" s="11">
        <v>2.222222222222222E-2</v>
      </c>
      <c r="L448" s="13"/>
    </row>
    <row r="449" spans="1:12" x14ac:dyDescent="0.45">
      <c r="A449" s="3" t="s">
        <v>1273</v>
      </c>
      <c r="B449" s="3" t="s">
        <v>1321</v>
      </c>
      <c r="C449" s="3" t="s">
        <v>552</v>
      </c>
      <c r="D449" s="9">
        <v>176</v>
      </c>
      <c r="E449" s="3"/>
      <c r="F449" s="3"/>
      <c r="G449" s="9"/>
      <c r="H449" s="10">
        <v>45667.568645833337</v>
      </c>
      <c r="I449" s="10">
        <v>45667.575150462973</v>
      </c>
      <c r="J449" s="10">
        <v>45667.605706018519</v>
      </c>
      <c r="K449" s="11">
        <v>3.0555555555555551E-2</v>
      </c>
      <c r="L449" s="13"/>
    </row>
    <row r="450" spans="1:12" x14ac:dyDescent="0.45">
      <c r="A450" s="3" t="s">
        <v>1273</v>
      </c>
      <c r="B450" s="3" t="s">
        <v>1322</v>
      </c>
      <c r="C450" s="3" t="s">
        <v>594</v>
      </c>
      <c r="D450" s="9">
        <v>128</v>
      </c>
      <c r="E450" s="3"/>
      <c r="F450" s="3"/>
      <c r="G450" s="9"/>
      <c r="H450" s="10">
        <v>45667.568819444437</v>
      </c>
      <c r="I450" s="10">
        <v>45667.591990740737</v>
      </c>
      <c r="J450" s="10">
        <v>45667.614212962973</v>
      </c>
      <c r="K450" s="11">
        <v>2.222222222222222E-2</v>
      </c>
      <c r="L450" s="13"/>
    </row>
    <row r="451" spans="1:12" x14ac:dyDescent="0.45">
      <c r="A451" s="3" t="s">
        <v>1273</v>
      </c>
      <c r="B451" s="3" t="s">
        <v>1323</v>
      </c>
      <c r="C451" s="3" t="s">
        <v>577</v>
      </c>
      <c r="D451" s="9">
        <v>176</v>
      </c>
      <c r="E451" s="3"/>
      <c r="F451" s="3"/>
      <c r="G451" s="9"/>
      <c r="H451" s="10">
        <v>45667.573414351849</v>
      </c>
      <c r="I451" s="10">
        <v>45667.594421296293</v>
      </c>
      <c r="J451" s="10">
        <v>45667.624976851846</v>
      </c>
      <c r="K451" s="11">
        <v>3.0555555555555551E-2</v>
      </c>
      <c r="L451" s="13"/>
    </row>
    <row r="452" spans="1:12" x14ac:dyDescent="0.45">
      <c r="A452" s="3" t="s">
        <v>1273</v>
      </c>
      <c r="B452" s="3" t="s">
        <v>1324</v>
      </c>
      <c r="C452" s="3" t="s">
        <v>570</v>
      </c>
      <c r="D452" s="9">
        <v>128</v>
      </c>
      <c r="E452" s="3"/>
      <c r="F452" s="3"/>
      <c r="G452" s="9"/>
      <c r="H452" s="10">
        <v>45667.645694444444</v>
      </c>
      <c r="I452" s="10">
        <v>45667.646562499998</v>
      </c>
      <c r="J452" s="10">
        <v>45667.66878472222</v>
      </c>
      <c r="K452" s="11">
        <v>2.222222222222222E-2</v>
      </c>
      <c r="L452" s="13"/>
    </row>
    <row r="453" spans="1:12" x14ac:dyDescent="0.45">
      <c r="A453" s="3" t="s">
        <v>1273</v>
      </c>
      <c r="B453" s="3" t="s">
        <v>1325</v>
      </c>
      <c r="C453" s="3" t="s">
        <v>624</v>
      </c>
      <c r="D453" s="9">
        <v>128</v>
      </c>
      <c r="E453" s="3"/>
      <c r="F453" s="3"/>
      <c r="G453" s="9"/>
      <c r="H453" s="10">
        <v>45667.652627314812</v>
      </c>
      <c r="I453" s="10">
        <v>45667.65347222222</v>
      </c>
      <c r="J453" s="10">
        <v>45667.675694444442</v>
      </c>
      <c r="K453" s="11">
        <v>2.222222222222222E-2</v>
      </c>
      <c r="L453" s="13"/>
    </row>
    <row r="454" spans="1:12" x14ac:dyDescent="0.45">
      <c r="A454" s="3" t="s">
        <v>1273</v>
      </c>
      <c r="B454" s="3" t="s">
        <v>1326</v>
      </c>
      <c r="C454" s="3" t="s">
        <v>629</v>
      </c>
      <c r="D454" s="9">
        <v>160</v>
      </c>
      <c r="E454" s="3"/>
      <c r="F454" s="3"/>
      <c r="G454" s="9"/>
      <c r="H454" s="10">
        <v>45667.676944444444</v>
      </c>
      <c r="I454" s="10">
        <v>45667.677812499998</v>
      </c>
      <c r="J454" s="10">
        <v>45667.705590277779</v>
      </c>
      <c r="K454" s="11">
        <v>2.777777777777778E-2</v>
      </c>
      <c r="L454" s="13"/>
    </row>
    <row r="455" spans="1:12" x14ac:dyDescent="0.45">
      <c r="A455" s="3" t="s">
        <v>1273</v>
      </c>
      <c r="B455" s="3" t="s">
        <v>1327</v>
      </c>
      <c r="C455" s="3" t="s">
        <v>478</v>
      </c>
      <c r="D455" s="9">
        <v>160</v>
      </c>
      <c r="E455" s="3"/>
      <c r="F455" s="3"/>
      <c r="G455" s="9"/>
      <c r="H455" s="10">
        <v>45667.703483796293</v>
      </c>
      <c r="I455" s="10">
        <v>45667.704270833332</v>
      </c>
      <c r="J455" s="10">
        <v>45667.732048611113</v>
      </c>
      <c r="K455" s="11">
        <v>2.777777777777778E-2</v>
      </c>
      <c r="L455" s="13"/>
    </row>
    <row r="456" spans="1:12" x14ac:dyDescent="0.45">
      <c r="A456" s="3" t="s">
        <v>1273</v>
      </c>
      <c r="B456" s="3" t="s">
        <v>1328</v>
      </c>
      <c r="C456" s="3" t="s">
        <v>606</v>
      </c>
      <c r="D456" s="9">
        <v>176</v>
      </c>
      <c r="E456" s="3"/>
      <c r="F456" s="3"/>
      <c r="G456" s="9"/>
      <c r="H456" s="10">
        <v>45667.704699074071</v>
      </c>
      <c r="I456" s="10">
        <v>45667.706412037027</v>
      </c>
      <c r="J456" s="10">
        <v>45667.736967592587</v>
      </c>
      <c r="K456" s="11">
        <v>3.0555555555555551E-2</v>
      </c>
      <c r="L456" s="13"/>
    </row>
    <row r="457" spans="1:12" x14ac:dyDescent="0.45">
      <c r="A457" s="3" t="s">
        <v>1273</v>
      </c>
      <c r="B457" s="3" t="s">
        <v>1329</v>
      </c>
      <c r="C457" s="3" t="s">
        <v>660</v>
      </c>
      <c r="D457" s="9">
        <v>144</v>
      </c>
      <c r="E457" s="3"/>
      <c r="F457" s="3"/>
      <c r="G457" s="9"/>
      <c r="H457" s="10">
        <v>45668.272581018522</v>
      </c>
      <c r="I457" s="10">
        <v>45668.273414351846</v>
      </c>
      <c r="J457" s="10">
        <v>45668.298414351862</v>
      </c>
      <c r="K457" s="11">
        <v>2.5000000000000001E-2</v>
      </c>
      <c r="L457" s="13"/>
    </row>
    <row r="458" spans="1:12" x14ac:dyDescent="0.45">
      <c r="A458" s="3" t="s">
        <v>1273</v>
      </c>
      <c r="B458" s="3" t="s">
        <v>1330</v>
      </c>
      <c r="C458" s="3" t="s">
        <v>619</v>
      </c>
      <c r="D458" s="9">
        <v>112</v>
      </c>
      <c r="E458" s="3"/>
      <c r="F458" s="3"/>
      <c r="G458" s="9"/>
      <c r="H458" s="10">
        <v>45668.276932870373</v>
      </c>
      <c r="I458" s="10">
        <v>45668.277800925927</v>
      </c>
      <c r="J458" s="10">
        <v>45668.29724537037</v>
      </c>
      <c r="K458" s="11">
        <v>1.9444444444444441E-2</v>
      </c>
      <c r="L458" s="13"/>
    </row>
    <row r="459" spans="1:12" x14ac:dyDescent="0.45">
      <c r="A459" s="3" t="s">
        <v>1273</v>
      </c>
      <c r="B459" s="3" t="s">
        <v>1331</v>
      </c>
      <c r="C459" s="3" t="s">
        <v>674</v>
      </c>
      <c r="D459" s="9">
        <v>176</v>
      </c>
      <c r="E459" s="3"/>
      <c r="F459" s="3"/>
      <c r="G459" s="9"/>
      <c r="H459" s="10">
        <v>45668.294571759259</v>
      </c>
      <c r="I459" s="10">
        <v>45668.296203703707</v>
      </c>
      <c r="J459" s="10">
        <v>45668.32675925926</v>
      </c>
      <c r="K459" s="11">
        <v>3.0555555555555551E-2</v>
      </c>
      <c r="L459" s="13"/>
    </row>
    <row r="460" spans="1:12" x14ac:dyDescent="0.45">
      <c r="A460" s="3" t="s">
        <v>1273</v>
      </c>
      <c r="B460" s="3" t="s">
        <v>1332</v>
      </c>
      <c r="C460" s="3" t="s">
        <v>657</v>
      </c>
      <c r="D460" s="9">
        <v>176</v>
      </c>
      <c r="E460" s="3"/>
      <c r="F460" s="3"/>
      <c r="G460" s="9"/>
      <c r="H460" s="10">
        <v>45668.307291666657</v>
      </c>
      <c r="I460" s="10">
        <v>45668.308159722219</v>
      </c>
      <c r="J460" s="10">
        <v>45668.33871527778</v>
      </c>
      <c r="K460" s="11">
        <v>3.0555555555555551E-2</v>
      </c>
      <c r="L460" s="13"/>
    </row>
    <row r="461" spans="1:12" x14ac:dyDescent="0.45">
      <c r="A461" s="3" t="s">
        <v>1273</v>
      </c>
      <c r="B461" s="3" t="s">
        <v>1333</v>
      </c>
      <c r="C461" s="3" t="s">
        <v>649</v>
      </c>
      <c r="D461" s="9">
        <v>128</v>
      </c>
      <c r="E461" s="3"/>
      <c r="F461" s="3"/>
      <c r="G461" s="9"/>
      <c r="H461" s="10">
        <v>45668.318692129629</v>
      </c>
      <c r="I461" s="10">
        <v>45668.326319444437</v>
      </c>
      <c r="J461" s="10">
        <v>45668.348541666674</v>
      </c>
      <c r="K461" s="11">
        <v>2.222222222222222E-2</v>
      </c>
      <c r="L461" s="13"/>
    </row>
    <row r="462" spans="1:12" x14ac:dyDescent="0.45">
      <c r="A462" s="3" t="s">
        <v>1273</v>
      </c>
      <c r="B462" s="3" t="s">
        <v>1334</v>
      </c>
      <c r="C462" s="3" t="s">
        <v>642</v>
      </c>
      <c r="D462" s="9">
        <v>128</v>
      </c>
      <c r="E462" s="3"/>
      <c r="F462" s="3"/>
      <c r="G462" s="9"/>
      <c r="H462" s="10">
        <v>45668.515185185177</v>
      </c>
      <c r="I462" s="10">
        <v>45668.516018518523</v>
      </c>
      <c r="J462" s="10">
        <v>45668.538240740738</v>
      </c>
      <c r="K462" s="11">
        <v>2.222222222222222E-2</v>
      </c>
      <c r="L462" s="13"/>
    </row>
    <row r="463" spans="1:12" x14ac:dyDescent="0.45">
      <c r="A463" s="3" t="s">
        <v>1273</v>
      </c>
      <c r="B463" s="3" t="s">
        <v>1335</v>
      </c>
      <c r="C463" s="3" t="s">
        <v>654</v>
      </c>
      <c r="D463" s="9">
        <v>160</v>
      </c>
      <c r="E463" s="3"/>
      <c r="F463" s="3"/>
      <c r="G463" s="9"/>
      <c r="H463" s="10">
        <v>45668.533854166657</v>
      </c>
      <c r="I463" s="10">
        <v>45668.535590277781</v>
      </c>
      <c r="J463" s="10">
        <v>45668.563368055547</v>
      </c>
      <c r="K463" s="11">
        <v>2.777777777777778E-2</v>
      </c>
      <c r="L463" s="13"/>
    </row>
    <row r="464" spans="1:12" x14ac:dyDescent="0.45">
      <c r="A464" s="3" t="s">
        <v>1273</v>
      </c>
      <c r="B464" s="3" t="s">
        <v>1336</v>
      </c>
      <c r="C464" s="3" t="s">
        <v>591</v>
      </c>
      <c r="D464" s="9">
        <v>144</v>
      </c>
      <c r="E464" s="3"/>
      <c r="F464" s="3"/>
      <c r="G464" s="9"/>
      <c r="H464" s="10">
        <v>45668.542905092603</v>
      </c>
      <c r="I464" s="10">
        <v>45668.544629629629</v>
      </c>
      <c r="J464" s="10">
        <v>45668.56962962963</v>
      </c>
      <c r="K464" s="11">
        <v>2.5000000000000001E-2</v>
      </c>
      <c r="L464" s="13"/>
    </row>
    <row r="465" spans="1:12" x14ac:dyDescent="0.45">
      <c r="A465" s="3" t="s">
        <v>1273</v>
      </c>
      <c r="B465" s="3" t="s">
        <v>1337</v>
      </c>
      <c r="C465" s="3" t="s">
        <v>693</v>
      </c>
      <c r="D465" s="9">
        <v>160</v>
      </c>
      <c r="E465" s="3"/>
      <c r="F465" s="3"/>
      <c r="G465" s="9"/>
      <c r="H465" s="10">
        <v>45668.542939814812</v>
      </c>
      <c r="I465" s="10">
        <v>45668.546469907407</v>
      </c>
      <c r="J465" s="10">
        <v>45668.574247685188</v>
      </c>
      <c r="K465" s="11">
        <v>2.777777777777778E-2</v>
      </c>
      <c r="L465" s="13"/>
    </row>
    <row r="466" spans="1:12" x14ac:dyDescent="0.45">
      <c r="A466" s="3" t="s">
        <v>1273</v>
      </c>
      <c r="B466" s="3" t="s">
        <v>1338</v>
      </c>
      <c r="C466" s="3" t="s">
        <v>696</v>
      </c>
      <c r="D466" s="9">
        <v>112</v>
      </c>
      <c r="E466" s="3"/>
      <c r="F466" s="3"/>
      <c r="G466" s="9"/>
      <c r="H466" s="10">
        <v>45668.544224537043</v>
      </c>
      <c r="I466" s="10">
        <v>45668.575925925928</v>
      </c>
      <c r="J466" s="10">
        <v>45668.595370370371</v>
      </c>
      <c r="K466" s="11">
        <v>1.9444444444444441E-2</v>
      </c>
      <c r="L466" s="13"/>
    </row>
    <row r="467" spans="1:12" x14ac:dyDescent="0.45">
      <c r="A467" s="3" t="s">
        <v>1273</v>
      </c>
      <c r="B467" s="3" t="s">
        <v>1339</v>
      </c>
      <c r="C467" s="3" t="s">
        <v>718</v>
      </c>
      <c r="D467" s="9">
        <v>176</v>
      </c>
      <c r="E467" s="3"/>
      <c r="F467" s="3"/>
      <c r="G467" s="9"/>
      <c r="H467" s="10">
        <v>45668.584421296298</v>
      </c>
      <c r="I467" s="10">
        <v>45668.585266203707</v>
      </c>
      <c r="J467" s="10">
        <v>45668.61582175926</v>
      </c>
      <c r="K467" s="11">
        <v>3.0555555555555551E-2</v>
      </c>
      <c r="L467" s="13"/>
    </row>
    <row r="468" spans="1:12" x14ac:dyDescent="0.45">
      <c r="A468" s="3" t="s">
        <v>1273</v>
      </c>
      <c r="B468" s="3" t="s">
        <v>1340</v>
      </c>
      <c r="C468" s="3" t="s">
        <v>728</v>
      </c>
      <c r="D468" s="9">
        <v>112</v>
      </c>
      <c r="E468" s="3"/>
      <c r="F468" s="3"/>
      <c r="G468" s="9"/>
      <c r="H468" s="10">
        <v>45668.900173611109</v>
      </c>
      <c r="I468" s="10">
        <v>45668.901041666657</v>
      </c>
      <c r="J468" s="10">
        <v>45668.920486111107</v>
      </c>
      <c r="K468" s="11">
        <v>1.9444444444444441E-2</v>
      </c>
      <c r="L468" s="13"/>
    </row>
    <row r="469" spans="1:12" x14ac:dyDescent="0.45">
      <c r="A469" s="3" t="s">
        <v>1273</v>
      </c>
      <c r="B469" s="3" t="s">
        <v>1341</v>
      </c>
      <c r="C469" s="3" t="s">
        <v>671</v>
      </c>
      <c r="D469" s="9">
        <v>256</v>
      </c>
      <c r="E469" s="3"/>
      <c r="F469" s="3"/>
      <c r="G469" s="9"/>
      <c r="H469" s="10">
        <v>45668.902407407397</v>
      </c>
      <c r="I469" s="10">
        <v>45668.903275462973</v>
      </c>
      <c r="J469" s="10">
        <v>45668.94771990741</v>
      </c>
      <c r="K469" s="11">
        <v>4.4444444444444453E-2</v>
      </c>
      <c r="L469" s="13"/>
    </row>
    <row r="470" spans="1:12" x14ac:dyDescent="0.45">
      <c r="A470" s="3" t="s">
        <v>1273</v>
      </c>
      <c r="B470" s="3" t="s">
        <v>1342</v>
      </c>
      <c r="C470" s="3" t="s">
        <v>750</v>
      </c>
      <c r="D470" s="9">
        <v>128</v>
      </c>
      <c r="E470" s="3"/>
      <c r="F470" s="3"/>
      <c r="G470" s="9"/>
      <c r="H470" s="10">
        <v>45668.997210648151</v>
      </c>
      <c r="I470" s="10">
        <v>45668.998078703713</v>
      </c>
      <c r="J470" s="10">
        <v>45669.020300925928</v>
      </c>
      <c r="K470" s="11">
        <v>2.222222222222222E-2</v>
      </c>
      <c r="L470" s="13"/>
    </row>
    <row r="471" spans="1:12" x14ac:dyDescent="0.45">
      <c r="A471" s="3" t="s">
        <v>1273</v>
      </c>
      <c r="B471" s="3" t="s">
        <v>1343</v>
      </c>
      <c r="C471" s="3" t="s">
        <v>736</v>
      </c>
      <c r="D471" s="9">
        <v>144</v>
      </c>
      <c r="E471" s="3"/>
      <c r="F471" s="3"/>
      <c r="G471" s="9"/>
      <c r="H471" s="10">
        <v>45669.358576388891</v>
      </c>
      <c r="I471" s="10">
        <v>45669.359444444453</v>
      </c>
      <c r="J471" s="10">
        <v>45669.384444444448</v>
      </c>
      <c r="K471" s="11">
        <v>2.5000000000000001E-2</v>
      </c>
      <c r="L471" s="13"/>
    </row>
    <row r="472" spans="1:12" x14ac:dyDescent="0.45">
      <c r="A472" s="3" t="s">
        <v>1273</v>
      </c>
      <c r="B472" s="3" t="s">
        <v>1344</v>
      </c>
      <c r="C472" s="3" t="s">
        <v>715</v>
      </c>
      <c r="D472" s="9">
        <v>160</v>
      </c>
      <c r="E472" s="3"/>
      <c r="F472" s="3"/>
      <c r="G472" s="9"/>
      <c r="H472" s="10">
        <v>45669.359305555547</v>
      </c>
      <c r="I472" s="10">
        <v>45669.360162037039</v>
      </c>
      <c r="J472" s="10">
        <v>45669.387939814813</v>
      </c>
      <c r="K472" s="11">
        <v>2.777777777777778E-2</v>
      </c>
      <c r="L472" s="13"/>
    </row>
    <row r="473" spans="1:12" x14ac:dyDescent="0.45">
      <c r="A473" s="3" t="s">
        <v>1273</v>
      </c>
      <c r="B473" s="3" t="s">
        <v>1345</v>
      </c>
      <c r="C473" s="3" t="s">
        <v>731</v>
      </c>
      <c r="D473" s="9">
        <v>128</v>
      </c>
      <c r="E473" s="3"/>
      <c r="F473" s="3"/>
      <c r="G473" s="9"/>
      <c r="H473" s="10">
        <v>45669.417337962957</v>
      </c>
      <c r="I473" s="10">
        <v>45669.418206018519</v>
      </c>
      <c r="J473" s="10">
        <v>45669.440428240741</v>
      </c>
      <c r="K473" s="11">
        <v>2.222222222222222E-2</v>
      </c>
      <c r="L473" s="13"/>
    </row>
    <row r="474" spans="1:12" x14ac:dyDescent="0.45">
      <c r="A474" s="3" t="s">
        <v>1273</v>
      </c>
      <c r="B474" s="3" t="s">
        <v>1346</v>
      </c>
      <c r="C474" s="3" t="s">
        <v>723</v>
      </c>
      <c r="D474" s="9">
        <v>128</v>
      </c>
      <c r="E474" s="3"/>
      <c r="F474" s="3"/>
      <c r="G474" s="9"/>
      <c r="H474" s="10">
        <v>45669.444837962961</v>
      </c>
      <c r="I474" s="10">
        <v>45669.44568287037</v>
      </c>
      <c r="J474" s="10">
        <v>45669.467905092592</v>
      </c>
      <c r="K474" s="11">
        <v>2.222222222222222E-2</v>
      </c>
      <c r="L474" s="13"/>
    </row>
    <row r="475" spans="1:12" x14ac:dyDescent="0.45">
      <c r="A475" s="3" t="s">
        <v>1273</v>
      </c>
      <c r="B475" s="3" t="s">
        <v>1347</v>
      </c>
      <c r="C475" s="3" t="s">
        <v>778</v>
      </c>
      <c r="D475" s="9">
        <v>144</v>
      </c>
      <c r="E475" s="3"/>
      <c r="F475" s="3"/>
      <c r="G475" s="9"/>
      <c r="H475" s="10">
        <v>45669.482523148137</v>
      </c>
      <c r="I475" s="10">
        <v>45669.483391203707</v>
      </c>
      <c r="J475" s="10">
        <v>45669.508391203701</v>
      </c>
      <c r="K475" s="11">
        <v>2.5000000000000001E-2</v>
      </c>
      <c r="L475" s="13"/>
    </row>
    <row r="476" spans="1:12" x14ac:dyDescent="0.45">
      <c r="A476" s="3" t="s">
        <v>1273</v>
      </c>
      <c r="B476" s="3" t="s">
        <v>1348</v>
      </c>
      <c r="C476" s="3" t="s">
        <v>747</v>
      </c>
      <c r="D476" s="9">
        <v>144</v>
      </c>
      <c r="E476" s="3"/>
      <c r="F476" s="3"/>
      <c r="G476" s="9"/>
      <c r="H476" s="10">
        <v>45669.513761574082</v>
      </c>
      <c r="I476" s="10">
        <v>45669.51462962963</v>
      </c>
      <c r="J476" s="10">
        <v>45669.539629629631</v>
      </c>
      <c r="K476" s="11">
        <v>2.5000000000000001E-2</v>
      </c>
      <c r="L476" s="13"/>
    </row>
    <row r="477" spans="1:12" x14ac:dyDescent="0.45">
      <c r="A477" s="3" t="s">
        <v>1273</v>
      </c>
      <c r="B477" s="3" t="s">
        <v>1349</v>
      </c>
      <c r="C477" s="3" t="s">
        <v>787</v>
      </c>
      <c r="D477" s="9">
        <v>112</v>
      </c>
      <c r="E477" s="3"/>
      <c r="F477" s="3"/>
      <c r="G477" s="9"/>
      <c r="H477" s="10">
        <v>45669.685972222222</v>
      </c>
      <c r="I477" s="10">
        <v>45669.686840277784</v>
      </c>
      <c r="J477" s="10">
        <v>45669.706284722219</v>
      </c>
      <c r="K477" s="11">
        <v>1.9444444444444441E-2</v>
      </c>
      <c r="L477" s="13"/>
    </row>
    <row r="478" spans="1:12" x14ac:dyDescent="0.45">
      <c r="A478" s="3" t="s">
        <v>1273</v>
      </c>
      <c r="B478" s="3" t="s">
        <v>1350</v>
      </c>
      <c r="C478" s="3" t="s">
        <v>755</v>
      </c>
      <c r="D478" s="9">
        <v>192</v>
      </c>
      <c r="E478" s="3"/>
      <c r="F478" s="3"/>
      <c r="G478" s="9"/>
      <c r="H478" s="10">
        <v>45669.813726851848</v>
      </c>
      <c r="I478" s="10">
        <v>45669.81459490741</v>
      </c>
      <c r="J478" s="10">
        <v>45669.847928240742</v>
      </c>
      <c r="K478" s="11">
        <v>3.3333333333333333E-2</v>
      </c>
      <c r="L478" s="13"/>
    </row>
    <row r="479" spans="1:12" x14ac:dyDescent="0.45">
      <c r="A479" s="3" t="s">
        <v>1273</v>
      </c>
      <c r="B479" s="3" t="s">
        <v>1351</v>
      </c>
      <c r="C479" s="3" t="s">
        <v>792</v>
      </c>
      <c r="D479" s="9">
        <v>304</v>
      </c>
      <c r="E479" s="3"/>
      <c r="F479" s="3"/>
      <c r="G479" s="9"/>
      <c r="H479" s="10">
        <v>45669.941388888888</v>
      </c>
      <c r="I479" s="10">
        <v>45669.942233796297</v>
      </c>
      <c r="J479" s="10">
        <v>45669.995011574072</v>
      </c>
      <c r="K479" s="11">
        <v>5.2777777777777778E-2</v>
      </c>
      <c r="L479" s="13"/>
    </row>
    <row r="480" spans="1:12" x14ac:dyDescent="0.45">
      <c r="A480" s="3" t="s">
        <v>1352</v>
      </c>
      <c r="B480" s="3" t="s">
        <v>1353</v>
      </c>
      <c r="C480" s="3" t="s">
        <v>140</v>
      </c>
      <c r="D480" s="9">
        <v>208</v>
      </c>
      <c r="E480" s="3"/>
      <c r="F480" s="3"/>
      <c r="G480" s="9"/>
      <c r="H480" s="10">
        <v>45663.21775462963</v>
      </c>
      <c r="I480" s="10">
        <v>45663.218622685177</v>
      </c>
      <c r="J480" s="10">
        <v>45663.221365740741</v>
      </c>
      <c r="K480" s="11">
        <v>2.743055555555555E-3</v>
      </c>
      <c r="L480" s="13"/>
    </row>
    <row r="481" spans="1:12" x14ac:dyDescent="0.45">
      <c r="A481" s="3" t="s">
        <v>1352</v>
      </c>
      <c r="B481" s="3" t="s">
        <v>1354</v>
      </c>
      <c r="C481" s="3" t="s">
        <v>138</v>
      </c>
      <c r="D481" s="9">
        <v>224</v>
      </c>
      <c r="E481" s="3"/>
      <c r="F481" s="3"/>
      <c r="G481" s="9"/>
      <c r="H481" s="10">
        <v>45663.219652777778</v>
      </c>
      <c r="I481" s="10">
        <v>45663.222245370373</v>
      </c>
      <c r="J481" s="10">
        <v>45663.226469907408</v>
      </c>
      <c r="K481" s="11">
        <v>4.2245370370370371E-3</v>
      </c>
      <c r="L481" s="13"/>
    </row>
    <row r="482" spans="1:12" x14ac:dyDescent="0.45">
      <c r="A482" s="3" t="s">
        <v>1352</v>
      </c>
      <c r="B482" s="3" t="s">
        <v>1355</v>
      </c>
      <c r="C482" s="3" t="s">
        <v>142</v>
      </c>
      <c r="D482" s="9">
        <v>160</v>
      </c>
      <c r="E482" s="3"/>
      <c r="F482" s="3"/>
      <c r="G482" s="9"/>
      <c r="H482" s="10">
        <v>45663.319687499999</v>
      </c>
      <c r="I482" s="10">
        <v>45663.320555555547</v>
      </c>
      <c r="J482" s="10">
        <v>45663.321666666663</v>
      </c>
      <c r="K482" s="11">
        <v>1.1111111111111109E-3</v>
      </c>
      <c r="L482" s="13"/>
    </row>
    <row r="483" spans="1:12" x14ac:dyDescent="0.45">
      <c r="A483" s="3" t="s">
        <v>1352</v>
      </c>
      <c r="B483" s="3" t="s">
        <v>1356</v>
      </c>
      <c r="C483" s="3" t="s">
        <v>143</v>
      </c>
      <c r="D483" s="9">
        <v>96</v>
      </c>
      <c r="E483" s="3"/>
      <c r="F483" s="3"/>
      <c r="G483" s="9"/>
      <c r="H483" s="10">
        <v>45663.474722222221</v>
      </c>
      <c r="I483" s="10">
        <v>45663.475601851853</v>
      </c>
      <c r="J483" s="10">
        <v>45663.476574074077</v>
      </c>
      <c r="K483" s="11">
        <v>9.7222222222222219E-4</v>
      </c>
      <c r="L483" s="13"/>
    </row>
    <row r="484" spans="1:12" x14ac:dyDescent="0.45">
      <c r="A484" s="3" t="s">
        <v>1352</v>
      </c>
      <c r="B484" s="3" t="s">
        <v>1357</v>
      </c>
      <c r="C484" s="3" t="s">
        <v>144</v>
      </c>
      <c r="D484" s="9">
        <v>176</v>
      </c>
      <c r="E484" s="3"/>
      <c r="F484" s="3"/>
      <c r="G484" s="9"/>
      <c r="H484" s="10">
        <v>45663.6247337963</v>
      </c>
      <c r="I484" s="10">
        <v>45663.625601851847</v>
      </c>
      <c r="J484" s="10">
        <v>45663.629016203697</v>
      </c>
      <c r="K484" s="11">
        <v>3.414351851851852E-3</v>
      </c>
      <c r="L484" s="13"/>
    </row>
    <row r="485" spans="1:12" x14ac:dyDescent="0.45">
      <c r="A485" s="3" t="s">
        <v>1352</v>
      </c>
      <c r="B485" s="3" t="s">
        <v>1358</v>
      </c>
      <c r="C485" s="3" t="s">
        <v>145</v>
      </c>
      <c r="D485" s="9">
        <v>160</v>
      </c>
      <c r="E485" s="3"/>
      <c r="F485" s="3"/>
      <c r="G485" s="9"/>
      <c r="H485" s="10">
        <v>45664.257037037038</v>
      </c>
      <c r="I485" s="10">
        <v>45664.257916666669</v>
      </c>
      <c r="J485" s="10">
        <v>45664.260439814818</v>
      </c>
      <c r="K485" s="11">
        <v>2.5231481481481481E-3</v>
      </c>
      <c r="L485" s="13"/>
    </row>
    <row r="486" spans="1:12" x14ac:dyDescent="0.45">
      <c r="A486" s="3" t="s">
        <v>1352</v>
      </c>
      <c r="B486" s="3" t="s">
        <v>1359</v>
      </c>
      <c r="C486" s="3" t="s">
        <v>146</v>
      </c>
      <c r="D486" s="9">
        <v>128</v>
      </c>
      <c r="E486" s="3"/>
      <c r="F486" s="3"/>
      <c r="G486" s="9"/>
      <c r="H486" s="10">
        <v>45664.266597222217</v>
      </c>
      <c r="I486" s="10">
        <v>45664.267465277779</v>
      </c>
      <c r="J486" s="10">
        <v>45664.268495370372</v>
      </c>
      <c r="K486" s="11">
        <v>1.0300925925925931E-3</v>
      </c>
      <c r="L486" s="13"/>
    </row>
    <row r="487" spans="1:12" x14ac:dyDescent="0.45">
      <c r="A487" s="3" t="s">
        <v>1352</v>
      </c>
      <c r="B487" s="3" t="s">
        <v>1360</v>
      </c>
      <c r="C487" s="3" t="s">
        <v>147</v>
      </c>
      <c r="D487" s="9">
        <v>224</v>
      </c>
      <c r="E487" s="3"/>
      <c r="F487" s="3"/>
      <c r="G487" s="9"/>
      <c r="H487" s="10">
        <v>45664.275555555563</v>
      </c>
      <c r="I487" s="10">
        <v>45664.276423611111</v>
      </c>
      <c r="J487" s="10">
        <v>45664.280451388891</v>
      </c>
      <c r="K487" s="11">
        <v>4.0277777777777777E-3</v>
      </c>
      <c r="L487" s="13"/>
    </row>
    <row r="488" spans="1:12" x14ac:dyDescent="0.45">
      <c r="A488" s="3" t="s">
        <v>1352</v>
      </c>
      <c r="B488" s="3" t="s">
        <v>1361</v>
      </c>
      <c r="C488" s="3" t="s">
        <v>148</v>
      </c>
      <c r="D488" s="9">
        <v>128</v>
      </c>
      <c r="E488" s="3"/>
      <c r="F488" s="3"/>
      <c r="G488" s="9"/>
      <c r="H488" s="10">
        <v>45664.282997685194</v>
      </c>
      <c r="I488" s="10">
        <v>45664.283865740741</v>
      </c>
      <c r="J488" s="10">
        <v>45664.287789351853</v>
      </c>
      <c r="K488" s="11">
        <v>3.9236111111111112E-3</v>
      </c>
      <c r="L488" s="13"/>
    </row>
    <row r="489" spans="1:12" x14ac:dyDescent="0.45">
      <c r="A489" s="3" t="s">
        <v>1352</v>
      </c>
      <c r="B489" s="3" t="s">
        <v>1362</v>
      </c>
      <c r="C489" s="3" t="s">
        <v>149</v>
      </c>
      <c r="D489" s="9">
        <v>96</v>
      </c>
      <c r="E489" s="3"/>
      <c r="F489" s="3"/>
      <c r="G489" s="9"/>
      <c r="H489" s="10">
        <v>45664.290462962963</v>
      </c>
      <c r="I489" s="10">
        <v>45664.291331018518</v>
      </c>
      <c r="J489" s="10">
        <v>45664.292685185188</v>
      </c>
      <c r="K489" s="11">
        <v>1.3541666666666669E-3</v>
      </c>
      <c r="L489" s="13"/>
    </row>
    <row r="490" spans="1:12" x14ac:dyDescent="0.45">
      <c r="A490" s="3" t="s">
        <v>1352</v>
      </c>
      <c r="B490" s="3" t="s">
        <v>1363</v>
      </c>
      <c r="C490" s="3" t="s">
        <v>150</v>
      </c>
      <c r="D490" s="9">
        <v>192</v>
      </c>
      <c r="E490" s="3"/>
      <c r="F490" s="3"/>
      <c r="G490" s="9"/>
      <c r="H490" s="10">
        <v>45664.299317129633</v>
      </c>
      <c r="I490" s="10">
        <v>45664.300185185188</v>
      </c>
      <c r="J490" s="10">
        <v>45664.30300925926</v>
      </c>
      <c r="K490" s="11">
        <v>2.8240740740740739E-3</v>
      </c>
      <c r="L490" s="13"/>
    </row>
    <row r="491" spans="1:12" x14ac:dyDescent="0.45">
      <c r="A491" s="3" t="s">
        <v>1352</v>
      </c>
      <c r="B491" s="3" t="s">
        <v>1364</v>
      </c>
      <c r="C491" s="3" t="s">
        <v>151</v>
      </c>
      <c r="D491" s="9">
        <v>128</v>
      </c>
      <c r="E491" s="3"/>
      <c r="F491" s="3"/>
      <c r="G491" s="9"/>
      <c r="H491" s="10">
        <v>45664.547986111109</v>
      </c>
      <c r="I491" s="10">
        <v>45664.548784722218</v>
      </c>
      <c r="J491" s="10">
        <v>45664.549826388888</v>
      </c>
      <c r="K491" s="11">
        <v>1.0416666666666671E-3</v>
      </c>
      <c r="L491" s="13"/>
    </row>
    <row r="492" spans="1:12" x14ac:dyDescent="0.45">
      <c r="A492" s="3" t="s">
        <v>1352</v>
      </c>
      <c r="B492" s="3" t="s">
        <v>1365</v>
      </c>
      <c r="C492" s="3" t="s">
        <v>152</v>
      </c>
      <c r="D492" s="9">
        <v>80</v>
      </c>
      <c r="E492" s="3"/>
      <c r="F492" s="3"/>
      <c r="G492" s="9"/>
      <c r="H492" s="10">
        <v>45664.693124999998</v>
      </c>
      <c r="I492" s="10">
        <v>45664.693993055553</v>
      </c>
      <c r="J492" s="10">
        <v>45664.695300925923</v>
      </c>
      <c r="K492" s="11">
        <v>1.30787037037037E-3</v>
      </c>
      <c r="L492" s="13"/>
    </row>
    <row r="493" spans="1:12" x14ac:dyDescent="0.45">
      <c r="A493" s="3" t="s">
        <v>1352</v>
      </c>
      <c r="B493" s="3" t="s">
        <v>1366</v>
      </c>
      <c r="C493" s="3" t="s">
        <v>153</v>
      </c>
      <c r="D493" s="9">
        <v>64</v>
      </c>
      <c r="E493" s="3"/>
      <c r="F493" s="3"/>
      <c r="G493" s="9"/>
      <c r="H493" s="10">
        <v>45664.838310185187</v>
      </c>
      <c r="I493" s="10">
        <v>45664.839097222219</v>
      </c>
      <c r="J493" s="10">
        <v>45664.841296296298</v>
      </c>
      <c r="K493" s="11">
        <v>2.1990740740740742E-3</v>
      </c>
      <c r="L493" s="13"/>
    </row>
    <row r="494" spans="1:12" x14ac:dyDescent="0.45">
      <c r="A494" s="3" t="s">
        <v>1352</v>
      </c>
      <c r="B494" s="3" t="s">
        <v>1367</v>
      </c>
      <c r="C494" s="3" t="s">
        <v>156</v>
      </c>
      <c r="D494" s="9">
        <v>64</v>
      </c>
      <c r="E494" s="3"/>
      <c r="F494" s="3"/>
      <c r="G494" s="9"/>
      <c r="H494" s="10">
        <v>45665.234166666669</v>
      </c>
      <c r="I494" s="10">
        <v>45665.235798611109</v>
      </c>
      <c r="J494" s="10">
        <v>45665.238993055558</v>
      </c>
      <c r="K494" s="11">
        <v>3.1944444444444451E-3</v>
      </c>
      <c r="L494" s="13"/>
    </row>
    <row r="495" spans="1:12" x14ac:dyDescent="0.45">
      <c r="A495" s="3" t="s">
        <v>1352</v>
      </c>
      <c r="B495" s="3" t="s">
        <v>1368</v>
      </c>
      <c r="C495" s="3" t="s">
        <v>157</v>
      </c>
      <c r="D495" s="9">
        <v>96</v>
      </c>
      <c r="E495" s="3"/>
      <c r="F495" s="3"/>
      <c r="G495" s="9"/>
      <c r="H495" s="10">
        <v>45665.234560185178</v>
      </c>
      <c r="I495" s="10">
        <v>45665.239861111113</v>
      </c>
      <c r="J495" s="10">
        <v>45665.24119212963</v>
      </c>
      <c r="K495" s="11">
        <v>1.3310185185185181E-3</v>
      </c>
      <c r="L495" s="13"/>
    </row>
    <row r="496" spans="1:12" x14ac:dyDescent="0.45">
      <c r="A496" s="3" t="s">
        <v>1352</v>
      </c>
      <c r="B496" s="3" t="s">
        <v>1369</v>
      </c>
      <c r="C496" s="3" t="s">
        <v>155</v>
      </c>
      <c r="D496" s="9">
        <v>192</v>
      </c>
      <c r="E496" s="3"/>
      <c r="F496" s="3"/>
      <c r="G496" s="9"/>
      <c r="H496" s="10">
        <v>45665.239849537043</v>
      </c>
      <c r="I496" s="10">
        <v>45665.242071759261</v>
      </c>
      <c r="J496" s="10">
        <v>45665.24491898148</v>
      </c>
      <c r="K496" s="11">
        <v>2.8472222222222219E-3</v>
      </c>
      <c r="L496" s="13"/>
    </row>
    <row r="497" spans="1:12" x14ac:dyDescent="0.45">
      <c r="A497" s="3" t="s">
        <v>1352</v>
      </c>
      <c r="B497" s="3" t="s">
        <v>1370</v>
      </c>
      <c r="C497" s="3" t="s">
        <v>158</v>
      </c>
      <c r="D497" s="9">
        <v>176</v>
      </c>
      <c r="E497" s="3"/>
      <c r="F497" s="3"/>
      <c r="G497" s="9"/>
      <c r="H497" s="10">
        <v>45665.382303240738</v>
      </c>
      <c r="I497" s="10">
        <v>45665.383171296293</v>
      </c>
      <c r="J497" s="10">
        <v>45665.385659722233</v>
      </c>
      <c r="K497" s="11">
        <v>2.488425925925926E-3</v>
      </c>
      <c r="L497" s="13"/>
    </row>
    <row r="498" spans="1:12" x14ac:dyDescent="0.45">
      <c r="A498" s="3" t="s">
        <v>1352</v>
      </c>
      <c r="B498" s="3" t="s">
        <v>1371</v>
      </c>
      <c r="C498" s="3" t="s">
        <v>159</v>
      </c>
      <c r="D498" s="9">
        <v>144</v>
      </c>
      <c r="E498" s="3"/>
      <c r="F498" s="3"/>
      <c r="G498" s="9"/>
      <c r="H498" s="10">
        <v>45665.386817129627</v>
      </c>
      <c r="I498" s="10">
        <v>45665.387685185182</v>
      </c>
      <c r="J498" s="10">
        <v>45665.389131944437</v>
      </c>
      <c r="K498" s="11">
        <v>1.446759259259259E-3</v>
      </c>
      <c r="L498" s="13"/>
    </row>
    <row r="499" spans="1:12" x14ac:dyDescent="0.45">
      <c r="A499" s="3" t="s">
        <v>1352</v>
      </c>
      <c r="B499" s="3" t="s">
        <v>1372</v>
      </c>
      <c r="C499" s="3" t="s">
        <v>160</v>
      </c>
      <c r="D499" s="9">
        <v>192</v>
      </c>
      <c r="E499" s="3"/>
      <c r="F499" s="3"/>
      <c r="G499" s="9"/>
      <c r="H499" s="10">
        <v>45665.404189814813</v>
      </c>
      <c r="I499" s="10">
        <v>45665.405057870368</v>
      </c>
      <c r="J499" s="10">
        <v>45665.407465277778</v>
      </c>
      <c r="K499" s="11">
        <v>2.407407407407408E-3</v>
      </c>
      <c r="L499" s="13"/>
    </row>
    <row r="500" spans="1:12" x14ac:dyDescent="0.45">
      <c r="A500" s="3" t="s">
        <v>1352</v>
      </c>
      <c r="B500" s="3" t="s">
        <v>1373</v>
      </c>
      <c r="C500" s="3" t="s">
        <v>161</v>
      </c>
      <c r="D500" s="9">
        <v>160</v>
      </c>
      <c r="E500" s="3"/>
      <c r="F500" s="3"/>
      <c r="G500" s="9"/>
      <c r="H500" s="10">
        <v>45665.409375000003</v>
      </c>
      <c r="I500" s="10">
        <v>45665.410243055558</v>
      </c>
      <c r="J500" s="10">
        <v>45665.411874999998</v>
      </c>
      <c r="K500" s="11">
        <v>1.631944444444445E-3</v>
      </c>
      <c r="L500" s="13"/>
    </row>
    <row r="501" spans="1:12" x14ac:dyDescent="0.45">
      <c r="A501" s="3" t="s">
        <v>1352</v>
      </c>
      <c r="B501" s="3" t="s">
        <v>1374</v>
      </c>
      <c r="C501" s="3" t="s">
        <v>162</v>
      </c>
      <c r="D501" s="9">
        <v>256</v>
      </c>
      <c r="E501" s="3"/>
      <c r="F501" s="3"/>
      <c r="G501" s="9"/>
      <c r="H501" s="10">
        <v>45665.428773148153</v>
      </c>
      <c r="I501" s="10">
        <v>45665.429652777777</v>
      </c>
      <c r="J501" s="10">
        <v>45665.432199074072</v>
      </c>
      <c r="K501" s="11">
        <v>2.5462962962962969E-3</v>
      </c>
      <c r="L501" s="13"/>
    </row>
    <row r="502" spans="1:12" x14ac:dyDescent="0.45">
      <c r="A502" s="3" t="s">
        <v>1352</v>
      </c>
      <c r="B502" s="3" t="s">
        <v>1375</v>
      </c>
      <c r="C502" s="3" t="s">
        <v>163</v>
      </c>
      <c r="D502" s="9">
        <v>160</v>
      </c>
      <c r="E502" s="3"/>
      <c r="F502" s="3"/>
      <c r="G502" s="9"/>
      <c r="H502" s="10">
        <v>45665.600937499999</v>
      </c>
      <c r="I502" s="10">
        <v>45665.601805555547</v>
      </c>
      <c r="J502" s="10">
        <v>45665.604050925933</v>
      </c>
      <c r="K502" s="11">
        <v>2.2453703703703698E-3</v>
      </c>
      <c r="L502" s="13"/>
    </row>
    <row r="503" spans="1:12" x14ac:dyDescent="0.45">
      <c r="A503" s="3" t="s">
        <v>1352</v>
      </c>
      <c r="B503" s="3" t="s">
        <v>1376</v>
      </c>
      <c r="C503" s="3" t="s">
        <v>164</v>
      </c>
      <c r="D503" s="9">
        <v>112</v>
      </c>
      <c r="E503" s="3"/>
      <c r="F503" s="3"/>
      <c r="G503" s="9"/>
      <c r="H503" s="10">
        <v>45665.75613425926</v>
      </c>
      <c r="I503" s="10">
        <v>45665.757013888891</v>
      </c>
      <c r="J503" s="10">
        <v>45665.758020833331</v>
      </c>
      <c r="K503" s="11">
        <v>1.006944444444444E-3</v>
      </c>
      <c r="L503" s="13"/>
    </row>
    <row r="504" spans="1:12" x14ac:dyDescent="0.45">
      <c r="A504" s="3" t="s">
        <v>1352</v>
      </c>
      <c r="B504" s="3" t="s">
        <v>1377</v>
      </c>
      <c r="C504" s="3" t="s">
        <v>165</v>
      </c>
      <c r="D504" s="9">
        <v>256</v>
      </c>
      <c r="E504" s="3"/>
      <c r="F504" s="3"/>
      <c r="G504" s="9"/>
      <c r="H504" s="10">
        <v>45665.904710648138</v>
      </c>
      <c r="I504" s="10">
        <v>45665.905578703707</v>
      </c>
      <c r="J504" s="10">
        <v>45665.906921296293</v>
      </c>
      <c r="K504" s="11">
        <v>1.3425925925925921E-3</v>
      </c>
      <c r="L504" s="13"/>
    </row>
    <row r="505" spans="1:12" x14ac:dyDescent="0.45">
      <c r="A505" s="3" t="s">
        <v>1352</v>
      </c>
      <c r="B505" s="3" t="s">
        <v>1378</v>
      </c>
      <c r="C505" s="3" t="s">
        <v>166</v>
      </c>
      <c r="D505" s="9">
        <v>128</v>
      </c>
      <c r="E505" s="3"/>
      <c r="F505" s="3"/>
      <c r="G505" s="9"/>
      <c r="H505" s="10">
        <v>45666.214722222219</v>
      </c>
      <c r="I505" s="10">
        <v>45666.215590277781</v>
      </c>
      <c r="J505" s="10">
        <v>45666.217465277783</v>
      </c>
      <c r="K505" s="11">
        <v>1.8749999999999999E-3</v>
      </c>
      <c r="L505" s="13"/>
    </row>
    <row r="506" spans="1:12" x14ac:dyDescent="0.45">
      <c r="A506" s="3" t="s">
        <v>1352</v>
      </c>
      <c r="B506" s="3" t="s">
        <v>1379</v>
      </c>
      <c r="C506" s="3" t="s">
        <v>167</v>
      </c>
      <c r="D506" s="9">
        <v>176</v>
      </c>
      <c r="E506" s="3"/>
      <c r="F506" s="3"/>
      <c r="G506" s="9"/>
      <c r="H506" s="10">
        <v>45666.221284722233</v>
      </c>
      <c r="I506" s="10">
        <v>45666.22216435185</v>
      </c>
      <c r="J506" s="10">
        <v>45666.223877314813</v>
      </c>
      <c r="K506" s="11">
        <v>1.712962962962963E-3</v>
      </c>
      <c r="L506" s="13"/>
    </row>
    <row r="507" spans="1:12" x14ac:dyDescent="0.45">
      <c r="A507" s="3" t="s">
        <v>1352</v>
      </c>
      <c r="B507" s="3" t="s">
        <v>1380</v>
      </c>
      <c r="C507" s="3" t="s">
        <v>168</v>
      </c>
      <c r="D507" s="9">
        <v>176</v>
      </c>
      <c r="E507" s="3"/>
      <c r="F507" s="3"/>
      <c r="G507" s="9"/>
      <c r="H507" s="10">
        <v>45666.233391203707</v>
      </c>
      <c r="I507" s="10">
        <v>45666.234907407408</v>
      </c>
      <c r="J507" s="10">
        <v>45666.239571759259</v>
      </c>
      <c r="K507" s="11">
        <v>4.6643518518518518E-3</v>
      </c>
      <c r="L507" s="13"/>
    </row>
    <row r="508" spans="1:12" x14ac:dyDescent="0.45">
      <c r="A508" s="3" t="s">
        <v>1352</v>
      </c>
      <c r="B508" s="3" t="s">
        <v>1381</v>
      </c>
      <c r="C508" s="3" t="s">
        <v>169</v>
      </c>
      <c r="D508" s="9">
        <v>208</v>
      </c>
      <c r="E508" s="3"/>
      <c r="F508" s="3"/>
      <c r="G508" s="9"/>
      <c r="H508" s="10">
        <v>45666.23537037037</v>
      </c>
      <c r="I508" s="10">
        <v>45666.240439814806</v>
      </c>
      <c r="J508" s="10">
        <v>45666.241724537038</v>
      </c>
      <c r="K508" s="11">
        <v>1.284722222222222E-3</v>
      </c>
      <c r="L508" s="13"/>
    </row>
    <row r="509" spans="1:12" x14ac:dyDescent="0.45">
      <c r="A509" s="3" t="s">
        <v>1352</v>
      </c>
      <c r="B509" s="3" t="s">
        <v>1382</v>
      </c>
      <c r="C509" s="3" t="s">
        <v>170</v>
      </c>
      <c r="D509" s="9">
        <v>144</v>
      </c>
      <c r="E509" s="3"/>
      <c r="F509" s="3"/>
      <c r="G509" s="9"/>
      <c r="H509" s="10">
        <v>45666.237280092602</v>
      </c>
      <c r="I509" s="10">
        <v>45666.242592592593</v>
      </c>
      <c r="J509" s="10">
        <v>45666.243958333333</v>
      </c>
      <c r="K509" s="11">
        <v>1.3657407407407409E-3</v>
      </c>
      <c r="L509" s="13"/>
    </row>
    <row r="510" spans="1:12" x14ac:dyDescent="0.45">
      <c r="A510" s="3" t="s">
        <v>1352</v>
      </c>
      <c r="B510" s="3" t="s">
        <v>1383</v>
      </c>
      <c r="C510" s="3" t="s">
        <v>172</v>
      </c>
      <c r="D510" s="9">
        <v>96</v>
      </c>
      <c r="E510" s="3"/>
      <c r="F510" s="3"/>
      <c r="G510" s="9"/>
      <c r="H510" s="10">
        <v>45666.240474537037</v>
      </c>
      <c r="I510" s="10">
        <v>45666.244826388887</v>
      </c>
      <c r="J510" s="10">
        <v>45666.246157407397</v>
      </c>
      <c r="K510" s="11">
        <v>1.3310185185185181E-3</v>
      </c>
      <c r="L510" s="13"/>
    </row>
    <row r="511" spans="1:12" x14ac:dyDescent="0.45">
      <c r="A511" s="3" t="s">
        <v>1352</v>
      </c>
      <c r="B511" s="3" t="s">
        <v>1384</v>
      </c>
      <c r="C511" s="3" t="s">
        <v>174</v>
      </c>
      <c r="D511" s="9">
        <v>160</v>
      </c>
      <c r="E511" s="3"/>
      <c r="F511" s="3"/>
      <c r="G511" s="9"/>
      <c r="H511" s="10">
        <v>45666.246539351851</v>
      </c>
      <c r="I511" s="10">
        <v>45666.247800925928</v>
      </c>
      <c r="J511" s="10">
        <v>45666.24931712963</v>
      </c>
      <c r="K511" s="11">
        <v>1.5162037037037041E-3</v>
      </c>
      <c r="L511" s="13"/>
    </row>
    <row r="512" spans="1:12" x14ac:dyDescent="0.45">
      <c r="A512" s="3" t="s">
        <v>1352</v>
      </c>
      <c r="B512" s="3" t="s">
        <v>1385</v>
      </c>
      <c r="C512" s="3" t="s">
        <v>175</v>
      </c>
      <c r="D512" s="9">
        <v>176</v>
      </c>
      <c r="E512" s="3"/>
      <c r="F512" s="3"/>
      <c r="G512" s="9"/>
      <c r="H512" s="10">
        <v>45666.253831018519</v>
      </c>
      <c r="I512" s="10">
        <v>45666.254710648151</v>
      </c>
      <c r="J512" s="10">
        <v>45666.258287037039</v>
      </c>
      <c r="K512" s="11">
        <v>3.5763888888888889E-3</v>
      </c>
      <c r="L512" s="13"/>
    </row>
    <row r="513" spans="1:12" x14ac:dyDescent="0.45">
      <c r="A513" s="3" t="s">
        <v>1352</v>
      </c>
      <c r="B513" s="3" t="s">
        <v>1386</v>
      </c>
      <c r="C513" s="3" t="s">
        <v>176</v>
      </c>
      <c r="D513" s="9">
        <v>176</v>
      </c>
      <c r="E513" s="3"/>
      <c r="F513" s="3"/>
      <c r="G513" s="9"/>
      <c r="H513" s="10">
        <v>45666.465636574067</v>
      </c>
      <c r="I513" s="10">
        <v>45666.466423611113</v>
      </c>
      <c r="J513" s="10">
        <v>45666.468912037039</v>
      </c>
      <c r="K513" s="11">
        <v>2.488425925925926E-3</v>
      </c>
      <c r="L513" s="13"/>
    </row>
    <row r="514" spans="1:12" x14ac:dyDescent="0.45">
      <c r="A514" s="3" t="s">
        <v>1352</v>
      </c>
      <c r="B514" s="3" t="s">
        <v>1387</v>
      </c>
      <c r="C514" s="3" t="s">
        <v>177</v>
      </c>
      <c r="D514" s="9">
        <v>192</v>
      </c>
      <c r="E514" s="3"/>
      <c r="F514" s="3"/>
      <c r="G514" s="9"/>
      <c r="H514" s="10">
        <v>45666.468402777777</v>
      </c>
      <c r="I514" s="10">
        <v>45666.469780092593</v>
      </c>
      <c r="J514" s="10">
        <v>45666.472488425927</v>
      </c>
      <c r="K514" s="11">
        <v>2.708333333333333E-3</v>
      </c>
      <c r="L514" s="13"/>
    </row>
    <row r="515" spans="1:12" x14ac:dyDescent="0.45">
      <c r="A515" s="3" t="s">
        <v>1352</v>
      </c>
      <c r="B515" s="3" t="s">
        <v>1388</v>
      </c>
      <c r="C515" s="3" t="s">
        <v>178</v>
      </c>
      <c r="D515" s="9">
        <v>288</v>
      </c>
      <c r="E515" s="3"/>
      <c r="F515" s="3"/>
      <c r="G515" s="9"/>
      <c r="H515" s="10">
        <v>45666.550439814811</v>
      </c>
      <c r="I515" s="10">
        <v>45666.551319444443</v>
      </c>
      <c r="J515" s="10">
        <v>45666.554062499999</v>
      </c>
      <c r="K515" s="11">
        <v>2.743055555555555E-3</v>
      </c>
      <c r="L515" s="13"/>
    </row>
    <row r="516" spans="1:12" x14ac:dyDescent="0.45">
      <c r="A516" s="3" t="s">
        <v>1352</v>
      </c>
      <c r="B516" s="3" t="s">
        <v>1389</v>
      </c>
      <c r="C516" s="3" t="s">
        <v>179</v>
      </c>
      <c r="D516" s="9">
        <v>176</v>
      </c>
      <c r="E516" s="3"/>
      <c r="F516" s="3"/>
      <c r="G516" s="9"/>
      <c r="H516" s="10">
        <v>45666.555752314824</v>
      </c>
      <c r="I516" s="10">
        <v>45666.556631944448</v>
      </c>
      <c r="J516" s="10">
        <v>45666.559837962966</v>
      </c>
      <c r="K516" s="11">
        <v>3.2060185185185191E-3</v>
      </c>
      <c r="L516" s="13"/>
    </row>
    <row r="517" spans="1:12" x14ac:dyDescent="0.45">
      <c r="A517" s="3" t="s">
        <v>1352</v>
      </c>
      <c r="B517" s="3" t="s">
        <v>1390</v>
      </c>
      <c r="C517" s="3" t="s">
        <v>180</v>
      </c>
      <c r="D517" s="9">
        <v>80</v>
      </c>
      <c r="E517" s="3"/>
      <c r="F517" s="3"/>
      <c r="G517" s="9"/>
      <c r="H517" s="10">
        <v>45666.564768518518</v>
      </c>
      <c r="I517" s="10">
        <v>45666.565636574072</v>
      </c>
      <c r="J517" s="10">
        <v>45666.567777777767</v>
      </c>
      <c r="K517" s="11">
        <v>2.1412037037037042E-3</v>
      </c>
      <c r="L517" s="13"/>
    </row>
    <row r="518" spans="1:12" x14ac:dyDescent="0.45">
      <c r="A518" s="3" t="s">
        <v>1352</v>
      </c>
      <c r="B518" s="3" t="s">
        <v>1391</v>
      </c>
      <c r="C518" s="3" t="s">
        <v>181</v>
      </c>
      <c r="D518" s="9">
        <v>192</v>
      </c>
      <c r="E518" s="3"/>
      <c r="F518" s="3"/>
      <c r="G518" s="9"/>
      <c r="H518" s="10">
        <v>45666.576412037037</v>
      </c>
      <c r="I518" s="10">
        <v>45666.577291666668</v>
      </c>
      <c r="J518" s="10">
        <v>45666.579930555563</v>
      </c>
      <c r="K518" s="11">
        <v>2.638888888888889E-3</v>
      </c>
      <c r="L518" s="13"/>
    </row>
    <row r="519" spans="1:12" x14ac:dyDescent="0.45">
      <c r="A519" s="3" t="s">
        <v>1352</v>
      </c>
      <c r="B519" s="3" t="s">
        <v>1392</v>
      </c>
      <c r="C519" s="3" t="s">
        <v>182</v>
      </c>
      <c r="D519" s="9">
        <v>192</v>
      </c>
      <c r="E519" s="3"/>
      <c r="F519" s="3"/>
      <c r="G519" s="9"/>
      <c r="H519" s="10">
        <v>45666.586458333331</v>
      </c>
      <c r="I519" s="10">
        <v>45666.587326388893</v>
      </c>
      <c r="J519" s="10">
        <v>45666.590810185182</v>
      </c>
      <c r="K519" s="11">
        <v>3.483796296296296E-3</v>
      </c>
      <c r="L519" s="13"/>
    </row>
    <row r="520" spans="1:12" x14ac:dyDescent="0.45">
      <c r="A520" s="3" t="s">
        <v>1352</v>
      </c>
      <c r="B520" s="3" t="s">
        <v>1393</v>
      </c>
      <c r="C520" s="3" t="s">
        <v>183</v>
      </c>
      <c r="D520" s="9">
        <v>144</v>
      </c>
      <c r="E520" s="3"/>
      <c r="F520" s="3"/>
      <c r="G520" s="9"/>
      <c r="H520" s="10">
        <v>45666.798506944448</v>
      </c>
      <c r="I520" s="10">
        <v>45666.799375000002</v>
      </c>
      <c r="J520" s="10">
        <v>45666.800451388888</v>
      </c>
      <c r="K520" s="11">
        <v>1.0763888888888891E-3</v>
      </c>
      <c r="L520" s="13"/>
    </row>
    <row r="521" spans="1:12" x14ac:dyDescent="0.45">
      <c r="A521" s="3" t="s">
        <v>1352</v>
      </c>
      <c r="B521" s="3" t="s">
        <v>1394</v>
      </c>
      <c r="C521" s="3" t="s">
        <v>184</v>
      </c>
      <c r="D521" s="9">
        <v>272</v>
      </c>
      <c r="E521" s="3"/>
      <c r="F521" s="3"/>
      <c r="G521" s="9"/>
      <c r="H521" s="10">
        <v>45666.807256944441</v>
      </c>
      <c r="I521" s="10">
        <v>45666.808125000003</v>
      </c>
      <c r="J521" s="10">
        <v>45666.811678240738</v>
      </c>
      <c r="K521" s="11">
        <v>3.5532407407407409E-3</v>
      </c>
      <c r="L521" s="13"/>
    </row>
    <row r="522" spans="1:12" x14ac:dyDescent="0.45">
      <c r="A522" s="3" t="s">
        <v>1352</v>
      </c>
      <c r="B522" s="3" t="s">
        <v>1395</v>
      </c>
      <c r="C522" s="3" t="s">
        <v>185</v>
      </c>
      <c r="D522" s="9">
        <v>160</v>
      </c>
      <c r="E522" s="3"/>
      <c r="F522" s="3"/>
      <c r="G522" s="9"/>
      <c r="H522" s="10">
        <v>45666.944606481477</v>
      </c>
      <c r="I522" s="10">
        <v>45666.945335648154</v>
      </c>
      <c r="J522" s="10">
        <v>45666.946840277778</v>
      </c>
      <c r="K522" s="11">
        <v>1.5046296296296301E-3</v>
      </c>
      <c r="L522" s="13"/>
    </row>
    <row r="523" spans="1:12" x14ac:dyDescent="0.45">
      <c r="A523" s="3" t="s">
        <v>1352</v>
      </c>
      <c r="B523" s="3" t="s">
        <v>1396</v>
      </c>
      <c r="C523" s="3" t="s">
        <v>186</v>
      </c>
      <c r="D523" s="9">
        <v>160</v>
      </c>
      <c r="E523" s="3"/>
      <c r="F523" s="3"/>
      <c r="G523" s="9"/>
      <c r="H523" s="10">
        <v>45667.302187499998</v>
      </c>
      <c r="I523" s="10">
        <v>45667.303055555552</v>
      </c>
      <c r="J523" s="10">
        <v>45667.306875000002</v>
      </c>
      <c r="K523" s="11">
        <v>3.8194444444444439E-3</v>
      </c>
      <c r="L523" s="13"/>
    </row>
    <row r="524" spans="1:12" x14ac:dyDescent="0.45">
      <c r="A524" s="3" t="s">
        <v>1352</v>
      </c>
      <c r="B524" s="3" t="s">
        <v>1397</v>
      </c>
      <c r="C524" s="3" t="s">
        <v>187</v>
      </c>
      <c r="D524" s="9">
        <v>144</v>
      </c>
      <c r="E524" s="3"/>
      <c r="F524" s="3"/>
      <c r="G524" s="9"/>
      <c r="H524" s="10">
        <v>45667.324803240743</v>
      </c>
      <c r="I524" s="10">
        <v>45667.325567129628</v>
      </c>
      <c r="J524" s="10">
        <v>45667.329421296286</v>
      </c>
      <c r="K524" s="11">
        <v>3.8541666666666672E-3</v>
      </c>
      <c r="L524" s="13"/>
    </row>
    <row r="525" spans="1:12" x14ac:dyDescent="0.45">
      <c r="A525" s="3" t="s">
        <v>1352</v>
      </c>
      <c r="B525" s="3" t="s">
        <v>1398</v>
      </c>
      <c r="C525" s="3" t="s">
        <v>188</v>
      </c>
      <c r="D525" s="9">
        <v>96</v>
      </c>
      <c r="E525" s="3"/>
      <c r="F525" s="3"/>
      <c r="G525" s="9"/>
      <c r="H525" s="10">
        <v>45667.355787037042</v>
      </c>
      <c r="I525" s="10">
        <v>45667.35665509259</v>
      </c>
      <c r="J525" s="10">
        <v>45667.358854166669</v>
      </c>
      <c r="K525" s="11">
        <v>2.1990740740740742E-3</v>
      </c>
      <c r="L525" s="13"/>
    </row>
    <row r="526" spans="1:12" x14ac:dyDescent="0.45">
      <c r="A526" s="3" t="s">
        <v>1352</v>
      </c>
      <c r="B526" s="3" t="s">
        <v>1399</v>
      </c>
      <c r="C526" s="3" t="s">
        <v>189</v>
      </c>
      <c r="D526" s="9">
        <v>176</v>
      </c>
      <c r="E526" s="3"/>
      <c r="F526" s="3"/>
      <c r="G526" s="9"/>
      <c r="H526" s="10">
        <v>45667.38690972222</v>
      </c>
      <c r="I526" s="10">
        <v>45667.387673611112</v>
      </c>
      <c r="J526" s="10">
        <v>45667.391365740739</v>
      </c>
      <c r="K526" s="11">
        <v>3.6921296296296298E-3</v>
      </c>
      <c r="L526" s="13"/>
    </row>
    <row r="527" spans="1:12" x14ac:dyDescent="0.45">
      <c r="A527" s="3" t="s">
        <v>1352</v>
      </c>
      <c r="B527" s="3" t="s">
        <v>1400</v>
      </c>
      <c r="C527" s="3" t="s">
        <v>191</v>
      </c>
      <c r="D527" s="9">
        <v>240</v>
      </c>
      <c r="E527" s="3"/>
      <c r="F527" s="3"/>
      <c r="G527" s="9"/>
      <c r="H527" s="10">
        <v>45667.552152777767</v>
      </c>
      <c r="I527" s="10">
        <v>45667.553032407413</v>
      </c>
      <c r="J527" s="10">
        <v>45667.556655092587</v>
      </c>
      <c r="K527" s="11">
        <v>3.6226851851851849E-3</v>
      </c>
      <c r="L527" s="13"/>
    </row>
    <row r="528" spans="1:12" x14ac:dyDescent="0.45">
      <c r="A528" s="3" t="s">
        <v>1352</v>
      </c>
      <c r="B528" s="3" t="s">
        <v>1401</v>
      </c>
      <c r="C528" s="3" t="s">
        <v>190</v>
      </c>
      <c r="D528" s="9">
        <v>224</v>
      </c>
      <c r="E528" s="3"/>
      <c r="F528" s="3"/>
      <c r="G528" s="9"/>
      <c r="H528" s="10">
        <v>45667.556203703702</v>
      </c>
      <c r="I528" s="10">
        <v>45667.55741898148</v>
      </c>
      <c r="J528" s="10">
        <v>45667.5627662037</v>
      </c>
      <c r="K528" s="11">
        <v>5.347222222222222E-3</v>
      </c>
      <c r="L528" s="13"/>
    </row>
    <row r="529" spans="1:12" x14ac:dyDescent="0.45">
      <c r="A529" s="3" t="s">
        <v>1352</v>
      </c>
      <c r="B529" s="3" t="s">
        <v>1402</v>
      </c>
      <c r="C529" s="3" t="s">
        <v>192</v>
      </c>
      <c r="D529" s="9">
        <v>208</v>
      </c>
      <c r="E529" s="3"/>
      <c r="F529" s="3"/>
      <c r="G529" s="9"/>
      <c r="H529" s="10">
        <v>45667.635625000003</v>
      </c>
      <c r="I529" s="10">
        <v>45667.636493055557</v>
      </c>
      <c r="J529" s="10">
        <v>45667.639884259261</v>
      </c>
      <c r="K529" s="11">
        <v>3.391203703703704E-3</v>
      </c>
      <c r="L529" s="13"/>
    </row>
    <row r="530" spans="1:12" x14ac:dyDescent="0.45">
      <c r="A530" s="3" t="s">
        <v>1352</v>
      </c>
      <c r="B530" s="3" t="s">
        <v>1403</v>
      </c>
      <c r="C530" s="3" t="s">
        <v>193</v>
      </c>
      <c r="D530" s="9">
        <v>160</v>
      </c>
      <c r="E530" s="3"/>
      <c r="F530" s="3"/>
      <c r="G530" s="9"/>
      <c r="H530" s="10">
        <v>45667.660358796304</v>
      </c>
      <c r="I530" s="10">
        <v>45667.661226851851</v>
      </c>
      <c r="J530" s="10">
        <v>45667.662719907406</v>
      </c>
      <c r="K530" s="11">
        <v>1.4930555555555561E-3</v>
      </c>
      <c r="L530" s="13"/>
    </row>
    <row r="531" spans="1:12" x14ac:dyDescent="0.45">
      <c r="A531" s="3" t="s">
        <v>1352</v>
      </c>
      <c r="B531" s="3" t="s">
        <v>1404</v>
      </c>
      <c r="C531" s="3" t="s">
        <v>194</v>
      </c>
      <c r="D531" s="9">
        <v>224</v>
      </c>
      <c r="E531" s="3"/>
      <c r="F531" s="3"/>
      <c r="G531" s="9"/>
      <c r="H531" s="10">
        <v>45667.687013888892</v>
      </c>
      <c r="I531" s="10">
        <v>45667.687881944446</v>
      </c>
      <c r="J531" s="10">
        <v>45667.691620370373</v>
      </c>
      <c r="K531" s="11">
        <v>3.7384259259259259E-3</v>
      </c>
      <c r="L531" s="13"/>
    </row>
    <row r="532" spans="1:12" x14ac:dyDescent="0.45">
      <c r="A532" s="3" t="s">
        <v>1352</v>
      </c>
      <c r="B532" s="3" t="s">
        <v>1405</v>
      </c>
      <c r="C532" s="3" t="s">
        <v>195</v>
      </c>
      <c r="D532" s="9">
        <v>128</v>
      </c>
      <c r="E532" s="3"/>
      <c r="F532" s="3"/>
      <c r="G532" s="9"/>
      <c r="H532" s="10">
        <v>45667.712152777778</v>
      </c>
      <c r="I532" s="10">
        <v>45667.71303240741</v>
      </c>
      <c r="J532" s="10">
        <v>45667.715729166674</v>
      </c>
      <c r="K532" s="11">
        <v>2.696759259259259E-3</v>
      </c>
      <c r="L532" s="13"/>
    </row>
    <row r="533" spans="1:12" x14ac:dyDescent="0.45">
      <c r="A533" s="3" t="s">
        <v>1352</v>
      </c>
      <c r="B533" s="3" t="s">
        <v>1406</v>
      </c>
      <c r="C533" s="3" t="s">
        <v>196</v>
      </c>
      <c r="D533" s="9">
        <v>144</v>
      </c>
      <c r="E533" s="3"/>
      <c r="F533" s="3"/>
      <c r="G533" s="9"/>
      <c r="H533" s="10">
        <v>45667.840104166673</v>
      </c>
      <c r="I533" s="10">
        <v>45667.84097222222</v>
      </c>
      <c r="J533" s="10">
        <v>45667.843761574077</v>
      </c>
      <c r="K533" s="11">
        <v>2.7893518518518519E-3</v>
      </c>
      <c r="L533" s="13"/>
    </row>
    <row r="534" spans="1:12" x14ac:dyDescent="0.45">
      <c r="A534" s="3" t="s">
        <v>1352</v>
      </c>
      <c r="B534" s="3" t="s">
        <v>1407</v>
      </c>
      <c r="C534" s="3" t="s">
        <v>197</v>
      </c>
      <c r="D534" s="9">
        <v>96</v>
      </c>
      <c r="E534" s="3"/>
      <c r="F534" s="3"/>
      <c r="G534" s="9"/>
      <c r="H534" s="10">
        <v>45667.94458333333</v>
      </c>
      <c r="I534" s="10">
        <v>45667.945462962962</v>
      </c>
      <c r="J534" s="10">
        <v>45667.949247685188</v>
      </c>
      <c r="K534" s="11">
        <v>3.7847222222222219E-3</v>
      </c>
      <c r="L534" s="13"/>
    </row>
    <row r="535" spans="1:12" x14ac:dyDescent="0.45">
      <c r="A535" s="3" t="s">
        <v>1352</v>
      </c>
      <c r="B535" s="3" t="s">
        <v>1408</v>
      </c>
      <c r="C535" s="3" t="s">
        <v>198</v>
      </c>
      <c r="D535" s="9">
        <v>112</v>
      </c>
      <c r="E535" s="3"/>
      <c r="F535" s="3"/>
      <c r="G535" s="9"/>
      <c r="H535" s="10">
        <v>45668.256238425929</v>
      </c>
      <c r="I535" s="10">
        <v>45668.257106481477</v>
      </c>
      <c r="J535" s="10">
        <v>45668.258634259262</v>
      </c>
      <c r="K535" s="11">
        <v>1.5277777777777781E-3</v>
      </c>
      <c r="L535" s="13"/>
    </row>
    <row r="536" spans="1:12" x14ac:dyDescent="0.45">
      <c r="A536" s="3" t="s">
        <v>1352</v>
      </c>
      <c r="B536" s="3" t="s">
        <v>1409</v>
      </c>
      <c r="C536" s="3" t="s">
        <v>199</v>
      </c>
      <c r="D536" s="9">
        <v>128</v>
      </c>
      <c r="E536" s="3"/>
      <c r="F536" s="3"/>
      <c r="G536" s="9"/>
      <c r="H536" s="10">
        <v>45668.267013888893</v>
      </c>
      <c r="I536" s="10">
        <v>45668.267893518518</v>
      </c>
      <c r="J536" s="10">
        <v>45668.271111111113</v>
      </c>
      <c r="K536" s="11">
        <v>3.2175925925925931E-3</v>
      </c>
      <c r="L536" s="13"/>
    </row>
    <row r="537" spans="1:12" x14ac:dyDescent="0.45">
      <c r="A537" s="3" t="s">
        <v>1352</v>
      </c>
      <c r="B537" s="3" t="s">
        <v>1410</v>
      </c>
      <c r="C537" s="3" t="s">
        <v>200</v>
      </c>
      <c r="D537" s="9">
        <v>128</v>
      </c>
      <c r="E537" s="3"/>
      <c r="F537" s="3"/>
      <c r="G537" s="9"/>
      <c r="H537" s="10">
        <v>45668.278032407397</v>
      </c>
      <c r="I537" s="10">
        <v>45668.278900462959</v>
      </c>
      <c r="J537" s="10">
        <v>45668.280243055553</v>
      </c>
      <c r="K537" s="11">
        <v>1.3425925925925921E-3</v>
      </c>
      <c r="L537" s="13"/>
    </row>
    <row r="538" spans="1:12" x14ac:dyDescent="0.45">
      <c r="A538" s="3" t="s">
        <v>1352</v>
      </c>
      <c r="B538" s="3" t="s">
        <v>1411</v>
      </c>
      <c r="C538" s="3" t="s">
        <v>201</v>
      </c>
      <c r="D538" s="9">
        <v>112</v>
      </c>
      <c r="E538" s="3"/>
      <c r="F538" s="3"/>
      <c r="G538" s="9"/>
      <c r="H538" s="10">
        <v>45668.294965277782</v>
      </c>
      <c r="I538" s="10">
        <v>45668.295844907407</v>
      </c>
      <c r="J538" s="10">
        <v>45668.297256944446</v>
      </c>
      <c r="K538" s="11">
        <v>1.4120370370370369E-3</v>
      </c>
      <c r="L538" s="13"/>
    </row>
    <row r="539" spans="1:12" x14ac:dyDescent="0.45">
      <c r="A539" s="3" t="s">
        <v>1352</v>
      </c>
      <c r="B539" s="3" t="s">
        <v>1412</v>
      </c>
      <c r="C539" s="3" t="s">
        <v>202</v>
      </c>
      <c r="D539" s="9">
        <v>112</v>
      </c>
      <c r="E539" s="3"/>
      <c r="F539" s="3"/>
      <c r="G539" s="9"/>
      <c r="H539" s="10">
        <v>45668.311215277783</v>
      </c>
      <c r="I539" s="10">
        <v>45668.312083333331</v>
      </c>
      <c r="J539" s="10">
        <v>45668.315671296303</v>
      </c>
      <c r="K539" s="11">
        <v>3.5879629629629629E-3</v>
      </c>
      <c r="L539" s="13"/>
    </row>
    <row r="540" spans="1:12" x14ac:dyDescent="0.45">
      <c r="A540" s="3" t="s">
        <v>1352</v>
      </c>
      <c r="B540" s="3" t="s">
        <v>1413</v>
      </c>
      <c r="C540" s="3" t="s">
        <v>203</v>
      </c>
      <c r="D540" s="9">
        <v>112</v>
      </c>
      <c r="E540" s="3"/>
      <c r="F540" s="3"/>
      <c r="G540" s="9"/>
      <c r="H540" s="10">
        <v>45668.50613425926</v>
      </c>
      <c r="I540" s="10">
        <v>45668.507013888891</v>
      </c>
      <c r="J540" s="10">
        <v>45668.509421296287</v>
      </c>
      <c r="K540" s="11">
        <v>2.407407407407408E-3</v>
      </c>
      <c r="L540" s="13"/>
    </row>
    <row r="541" spans="1:12" x14ac:dyDescent="0.45">
      <c r="A541" s="3" t="s">
        <v>1352</v>
      </c>
      <c r="B541" s="3" t="s">
        <v>1414</v>
      </c>
      <c r="C541" s="3" t="s">
        <v>204</v>
      </c>
      <c r="D541" s="9">
        <v>144</v>
      </c>
      <c r="E541" s="3"/>
      <c r="F541" s="3"/>
      <c r="G541" s="9"/>
      <c r="H541" s="10">
        <v>45668.518506944441</v>
      </c>
      <c r="I541" s="10">
        <v>45668.519375000003</v>
      </c>
      <c r="J541" s="10">
        <v>45668.521956018521</v>
      </c>
      <c r="K541" s="11">
        <v>2.5810185185185189E-3</v>
      </c>
      <c r="L541" s="13"/>
    </row>
    <row r="542" spans="1:12" x14ac:dyDescent="0.45">
      <c r="A542" s="3" t="s">
        <v>1352</v>
      </c>
      <c r="B542" s="3" t="s">
        <v>1415</v>
      </c>
      <c r="C542" s="3" t="s">
        <v>205</v>
      </c>
      <c r="D542" s="9">
        <v>112</v>
      </c>
      <c r="E542" s="3"/>
      <c r="F542" s="3"/>
      <c r="G542" s="9"/>
      <c r="H542" s="10">
        <v>45668.527222222219</v>
      </c>
      <c r="I542" s="10">
        <v>45668.528090277781</v>
      </c>
      <c r="J542" s="10">
        <v>45668.529074074067</v>
      </c>
      <c r="K542" s="11">
        <v>9.837962962962962E-4</v>
      </c>
      <c r="L542" s="13"/>
    </row>
    <row r="543" spans="1:12" x14ac:dyDescent="0.45">
      <c r="A543" s="3" t="s">
        <v>1352</v>
      </c>
      <c r="B543" s="3" t="s">
        <v>1416</v>
      </c>
      <c r="C543" s="3" t="s">
        <v>206</v>
      </c>
      <c r="D543" s="9">
        <v>128</v>
      </c>
      <c r="E543" s="3"/>
      <c r="F543" s="3"/>
      <c r="G543" s="9"/>
      <c r="H543" s="10">
        <v>45668.533217592587</v>
      </c>
      <c r="I543" s="10">
        <v>45668.534085648149</v>
      </c>
      <c r="J543" s="10">
        <v>45668.538101851853</v>
      </c>
      <c r="K543" s="11">
        <v>4.0162037037037041E-3</v>
      </c>
      <c r="L543" s="13"/>
    </row>
    <row r="544" spans="1:12" x14ac:dyDescent="0.45">
      <c r="A544" s="3" t="s">
        <v>1352</v>
      </c>
      <c r="B544" s="3" t="s">
        <v>1417</v>
      </c>
      <c r="C544" s="3" t="s">
        <v>207</v>
      </c>
      <c r="D544" s="9">
        <v>208</v>
      </c>
      <c r="E544" s="3"/>
      <c r="F544" s="3"/>
      <c r="G544" s="9"/>
      <c r="H544" s="10">
        <v>45668.546296296299</v>
      </c>
      <c r="I544" s="10">
        <v>45668.547164351847</v>
      </c>
      <c r="J544" s="10">
        <v>45668.551203703697</v>
      </c>
      <c r="K544" s="11">
        <v>4.0393518518518521E-3</v>
      </c>
      <c r="L544" s="13"/>
    </row>
    <row r="545" spans="1:12" x14ac:dyDescent="0.45">
      <c r="A545" s="3" t="s">
        <v>1352</v>
      </c>
      <c r="B545" s="3" t="s">
        <v>1418</v>
      </c>
      <c r="C545" s="3" t="s">
        <v>208</v>
      </c>
      <c r="D545" s="9">
        <v>96</v>
      </c>
      <c r="E545" s="3"/>
      <c r="F545" s="3"/>
      <c r="G545" s="9"/>
      <c r="H545" s="10">
        <v>45668.550416666672</v>
      </c>
      <c r="I545" s="10">
        <v>45668.552083333343</v>
      </c>
      <c r="J545" s="10">
        <v>45668.554097222222</v>
      </c>
      <c r="K545" s="11">
        <v>2.0138888888888888E-3</v>
      </c>
      <c r="L545" s="13"/>
    </row>
    <row r="546" spans="1:12" x14ac:dyDescent="0.45">
      <c r="A546" s="3" t="s">
        <v>1352</v>
      </c>
      <c r="B546" s="3" t="s">
        <v>1419</v>
      </c>
      <c r="C546" s="3" t="s">
        <v>209</v>
      </c>
      <c r="D546" s="9">
        <v>80</v>
      </c>
      <c r="E546" s="3"/>
      <c r="F546" s="3"/>
      <c r="G546" s="9"/>
      <c r="H546" s="10">
        <v>45668.755740740737</v>
      </c>
      <c r="I546" s="10">
        <v>45668.756504629629</v>
      </c>
      <c r="J546" s="10">
        <v>45668.758564814823</v>
      </c>
      <c r="K546" s="11">
        <v>2.0601851851851849E-3</v>
      </c>
      <c r="L546" s="13"/>
    </row>
    <row r="547" spans="1:12" x14ac:dyDescent="0.45">
      <c r="A547" s="3" t="s">
        <v>1352</v>
      </c>
      <c r="B547" s="3" t="s">
        <v>1420</v>
      </c>
      <c r="C547" s="3" t="s">
        <v>210</v>
      </c>
      <c r="D547" s="9">
        <v>304</v>
      </c>
      <c r="E547" s="3"/>
      <c r="F547" s="3"/>
      <c r="G547" s="9"/>
      <c r="H547" s="10">
        <v>45668.887673611112</v>
      </c>
      <c r="I547" s="10">
        <v>45668.888553240737</v>
      </c>
      <c r="J547" s="10">
        <v>45668.892453703702</v>
      </c>
      <c r="K547" s="11">
        <v>3.9004629629629632E-3</v>
      </c>
      <c r="L547" s="13"/>
    </row>
    <row r="548" spans="1:12" x14ac:dyDescent="0.45">
      <c r="A548" s="3" t="s">
        <v>1352</v>
      </c>
      <c r="B548" s="3" t="s">
        <v>1421</v>
      </c>
      <c r="C548" s="3" t="s">
        <v>211</v>
      </c>
      <c r="D548" s="9">
        <v>160</v>
      </c>
      <c r="E548" s="3"/>
      <c r="F548" s="3"/>
      <c r="G548" s="9"/>
      <c r="H548" s="10">
        <v>45668.986273148148</v>
      </c>
      <c r="I548" s="10">
        <v>45668.987037037034</v>
      </c>
      <c r="J548" s="10">
        <v>45668.989560185182</v>
      </c>
      <c r="K548" s="11">
        <v>2.5231481481481481E-3</v>
      </c>
      <c r="L548" s="13"/>
    </row>
    <row r="549" spans="1:12" x14ac:dyDescent="0.45">
      <c r="A549" s="3" t="s">
        <v>1352</v>
      </c>
      <c r="B549" s="3" t="s">
        <v>1422</v>
      </c>
      <c r="C549" s="3" t="s">
        <v>212</v>
      </c>
      <c r="D549" s="9">
        <v>208</v>
      </c>
      <c r="E549" s="3"/>
      <c r="F549" s="3"/>
      <c r="G549" s="9"/>
      <c r="H549" s="10">
        <v>45669.345983796287</v>
      </c>
      <c r="I549" s="10">
        <v>45669.346863425933</v>
      </c>
      <c r="J549" s="10">
        <v>45669.351134259261</v>
      </c>
      <c r="K549" s="11">
        <v>4.2708333333333331E-3</v>
      </c>
      <c r="L549" s="13"/>
    </row>
    <row r="550" spans="1:12" x14ac:dyDescent="0.45">
      <c r="A550" s="3" t="s">
        <v>1352</v>
      </c>
      <c r="B550" s="3" t="s">
        <v>1423</v>
      </c>
      <c r="C550" s="3" t="s">
        <v>213</v>
      </c>
      <c r="D550" s="9">
        <v>176</v>
      </c>
      <c r="E550" s="3"/>
      <c r="F550" s="3"/>
      <c r="G550" s="9"/>
      <c r="H550" s="10">
        <v>45669.402349537027</v>
      </c>
      <c r="I550" s="10">
        <v>45669.403113425928</v>
      </c>
      <c r="J550" s="10">
        <v>45669.406574074077</v>
      </c>
      <c r="K550" s="11">
        <v>3.460648148148148E-3</v>
      </c>
      <c r="L550" s="13"/>
    </row>
    <row r="551" spans="1:12" x14ac:dyDescent="0.45">
      <c r="A551" s="3" t="s">
        <v>1352</v>
      </c>
      <c r="B551" s="3" t="s">
        <v>1424</v>
      </c>
      <c r="C551" s="3" t="s">
        <v>214</v>
      </c>
      <c r="D551" s="9">
        <v>128</v>
      </c>
      <c r="E551" s="3"/>
      <c r="F551" s="3"/>
      <c r="G551" s="9"/>
      <c r="H551" s="10">
        <v>45669.430092592593</v>
      </c>
      <c r="I551" s="10">
        <v>45669.430960648147</v>
      </c>
      <c r="J551" s="10">
        <v>45669.434189814812</v>
      </c>
      <c r="K551" s="11">
        <v>3.2291666666666671E-3</v>
      </c>
      <c r="L551" s="13"/>
    </row>
    <row r="552" spans="1:12" x14ac:dyDescent="0.45">
      <c r="A552" s="3" t="s">
        <v>1352</v>
      </c>
      <c r="B552" s="3" t="s">
        <v>1425</v>
      </c>
      <c r="C552" s="3" t="s">
        <v>215</v>
      </c>
      <c r="D552" s="9">
        <v>176</v>
      </c>
      <c r="E552" s="3"/>
      <c r="F552" s="3"/>
      <c r="G552" s="9"/>
      <c r="H552" s="10">
        <v>45669.467627314807</v>
      </c>
      <c r="I552" s="10">
        <v>45669.468391203707</v>
      </c>
      <c r="J552" s="10">
        <v>45669.471875000003</v>
      </c>
      <c r="K552" s="11">
        <v>3.483796296296296E-3</v>
      </c>
      <c r="L552" s="13"/>
    </row>
    <row r="553" spans="1:12" x14ac:dyDescent="0.45">
      <c r="A553" s="3" t="s">
        <v>1352</v>
      </c>
      <c r="B553" s="3" t="s">
        <v>1426</v>
      </c>
      <c r="C553" s="3" t="s">
        <v>216</v>
      </c>
      <c r="D553" s="9">
        <v>176</v>
      </c>
      <c r="E553" s="3"/>
      <c r="F553" s="3"/>
      <c r="G553" s="9"/>
      <c r="H553" s="10">
        <v>45669.500844907408</v>
      </c>
      <c r="I553" s="10">
        <v>45669.50172453704</v>
      </c>
      <c r="J553" s="10">
        <v>45669.505798611113</v>
      </c>
      <c r="K553" s="11">
        <v>4.0740740740740737E-3</v>
      </c>
      <c r="L553" s="13"/>
    </row>
    <row r="554" spans="1:12" x14ac:dyDescent="0.45">
      <c r="A554" s="3" t="s">
        <v>1352</v>
      </c>
      <c r="B554" s="3" t="s">
        <v>1427</v>
      </c>
      <c r="C554" s="3" t="s">
        <v>217</v>
      </c>
      <c r="D554" s="9">
        <v>144</v>
      </c>
      <c r="E554" s="3"/>
      <c r="F554" s="3"/>
      <c r="G554" s="9"/>
      <c r="H554" s="10">
        <v>45669.675636574073</v>
      </c>
      <c r="I554" s="10">
        <v>45669.676400462973</v>
      </c>
      <c r="J554" s="10">
        <v>45669.680381944447</v>
      </c>
      <c r="K554" s="11">
        <v>3.9814814814814817E-3</v>
      </c>
      <c r="L554" s="13"/>
    </row>
    <row r="555" spans="1:12" x14ac:dyDescent="0.45">
      <c r="A555" s="3" t="s">
        <v>1352</v>
      </c>
      <c r="B555" s="3" t="s">
        <v>1428</v>
      </c>
      <c r="C555" s="3" t="s">
        <v>218</v>
      </c>
      <c r="D555" s="9">
        <v>160</v>
      </c>
      <c r="E555" s="3"/>
      <c r="F555" s="3"/>
      <c r="G555" s="9"/>
      <c r="H555" s="10">
        <v>45669.798402777778</v>
      </c>
      <c r="I555" s="10">
        <v>45669.79928240741</v>
      </c>
      <c r="J555" s="10">
        <v>45669.802233796298</v>
      </c>
      <c r="K555" s="11">
        <v>2.9513888888888888E-3</v>
      </c>
      <c r="L555" s="13"/>
    </row>
    <row r="556" spans="1:12" x14ac:dyDescent="0.45">
      <c r="A556" s="3" t="s">
        <v>1352</v>
      </c>
      <c r="B556" s="3" t="s">
        <v>1429</v>
      </c>
      <c r="C556" s="3" t="s">
        <v>219</v>
      </c>
      <c r="D556" s="9">
        <v>224</v>
      </c>
      <c r="E556" s="3"/>
      <c r="F556" s="3"/>
      <c r="G556" s="9"/>
      <c r="H556" s="10">
        <v>45669.924872685187</v>
      </c>
      <c r="I556" s="10">
        <v>45669.925636574073</v>
      </c>
      <c r="J556" s="10">
        <v>45669.927407407413</v>
      </c>
      <c r="K556" s="11">
        <v>1.770833333333333E-3</v>
      </c>
      <c r="L556" s="13"/>
    </row>
    <row r="557" spans="1:12" x14ac:dyDescent="0.45">
      <c r="A557" s="3" t="s">
        <v>841</v>
      </c>
      <c r="B557" s="3" t="s">
        <v>1430</v>
      </c>
      <c r="C557" s="3" t="s">
        <v>243</v>
      </c>
      <c r="D557" s="9">
        <v>64</v>
      </c>
      <c r="E557" s="3" t="s">
        <v>141</v>
      </c>
      <c r="F557" s="3" t="s">
        <v>813</v>
      </c>
      <c r="G557" s="9">
        <v>263.08999999999997</v>
      </c>
      <c r="H557" s="10">
        <v>45663.218622685177</v>
      </c>
      <c r="I557" s="10">
        <v>45663.218622685177</v>
      </c>
      <c r="J557" s="10">
        <v>45663.219502314823</v>
      </c>
      <c r="K557" s="11">
        <v>8.7962962962962962E-4</v>
      </c>
      <c r="L557" s="13"/>
    </row>
    <row r="558" spans="1:12" x14ac:dyDescent="0.45">
      <c r="A558" s="3" t="s">
        <v>841</v>
      </c>
      <c r="B558" s="3" t="s">
        <v>1431</v>
      </c>
      <c r="C558" s="3" t="s">
        <v>1432</v>
      </c>
      <c r="D558" s="9">
        <v>96</v>
      </c>
      <c r="E558" s="3" t="s">
        <v>141</v>
      </c>
      <c r="F558" s="3" t="s">
        <v>816</v>
      </c>
      <c r="G558" s="9">
        <v>290.60000000000002</v>
      </c>
      <c r="H558" s="10">
        <v>45663.219502314823</v>
      </c>
      <c r="I558" s="10">
        <v>45663.219502314823</v>
      </c>
      <c r="J558" s="10">
        <v>45663.220532407409</v>
      </c>
      <c r="K558" s="11">
        <v>1.0300925925925931E-3</v>
      </c>
      <c r="L558" s="13"/>
    </row>
    <row r="559" spans="1:12" x14ac:dyDescent="0.45">
      <c r="A559" s="3" t="s">
        <v>841</v>
      </c>
      <c r="B559" s="3" t="s">
        <v>1433</v>
      </c>
      <c r="C559" s="3" t="s">
        <v>252</v>
      </c>
      <c r="D559" s="9">
        <v>48</v>
      </c>
      <c r="E559" s="3" t="s">
        <v>141</v>
      </c>
      <c r="F559" s="3" t="s">
        <v>813</v>
      </c>
      <c r="G559" s="9">
        <v>263.08999999999997</v>
      </c>
      <c r="H559" s="10">
        <v>45663.220532407409</v>
      </c>
      <c r="I559" s="10">
        <v>45663.220532407409</v>
      </c>
      <c r="J559" s="10">
        <v>45663.221365740741</v>
      </c>
      <c r="K559" s="11">
        <v>8.3333333333333339E-4</v>
      </c>
      <c r="L559" s="13"/>
    </row>
    <row r="560" spans="1:12" x14ac:dyDescent="0.45">
      <c r="A560" s="3" t="s">
        <v>841</v>
      </c>
      <c r="B560" s="3" t="s">
        <v>1434</v>
      </c>
      <c r="C560" s="3" t="s">
        <v>1435</v>
      </c>
      <c r="D560" s="9">
        <v>112</v>
      </c>
      <c r="E560" s="3" t="s">
        <v>139</v>
      </c>
      <c r="F560" s="3" t="s">
        <v>814</v>
      </c>
      <c r="G560" s="9">
        <v>450.42</v>
      </c>
      <c r="H560" s="10">
        <v>45663.222245370373</v>
      </c>
      <c r="I560" s="10">
        <v>45663.222245370373</v>
      </c>
      <c r="J560" s="10">
        <v>45663.223761574067</v>
      </c>
      <c r="K560" s="11">
        <v>1.5162037037037041E-3</v>
      </c>
      <c r="L560" s="13"/>
    </row>
    <row r="561" spans="1:12" x14ac:dyDescent="0.45">
      <c r="A561" s="3" t="s">
        <v>841</v>
      </c>
      <c r="B561" s="3" t="s">
        <v>1436</v>
      </c>
      <c r="C561" s="3" t="s">
        <v>236</v>
      </c>
      <c r="D561" s="9">
        <v>80</v>
      </c>
      <c r="E561" s="3" t="s">
        <v>139</v>
      </c>
      <c r="F561" s="3" t="s">
        <v>817</v>
      </c>
      <c r="G561" s="9">
        <v>477.75</v>
      </c>
      <c r="H561" s="10">
        <v>45663.223761574067</v>
      </c>
      <c r="I561" s="10">
        <v>45663.223761574067</v>
      </c>
      <c r="J561" s="10">
        <v>45663.225277777783</v>
      </c>
      <c r="K561" s="11">
        <v>1.5162037037037041E-3</v>
      </c>
      <c r="L561" s="13"/>
    </row>
    <row r="562" spans="1:12" x14ac:dyDescent="0.45">
      <c r="A562" s="3" t="s">
        <v>841</v>
      </c>
      <c r="B562" s="3" t="s">
        <v>1437</v>
      </c>
      <c r="C562" s="3" t="s">
        <v>240</v>
      </c>
      <c r="D562" s="9">
        <v>32</v>
      </c>
      <c r="E562" s="3" t="s">
        <v>139</v>
      </c>
      <c r="F562" s="3" t="s">
        <v>815</v>
      </c>
      <c r="G562" s="9">
        <v>405.43</v>
      </c>
      <c r="H562" s="10">
        <v>45663.225277777783</v>
      </c>
      <c r="I562" s="10">
        <v>45663.225277777783</v>
      </c>
      <c r="J562" s="10">
        <v>45663.226469907408</v>
      </c>
      <c r="K562" s="11">
        <v>1.19212962962963E-3</v>
      </c>
      <c r="L562" s="13"/>
    </row>
    <row r="563" spans="1:12" x14ac:dyDescent="0.45">
      <c r="A563" s="3" t="s">
        <v>841</v>
      </c>
      <c r="B563" s="3" t="s">
        <v>1438</v>
      </c>
      <c r="C563" s="3" t="s">
        <v>1439</v>
      </c>
      <c r="D563" s="9">
        <v>160</v>
      </c>
      <c r="E563" s="3" t="s">
        <v>139</v>
      </c>
      <c r="F563" s="3" t="s">
        <v>813</v>
      </c>
      <c r="G563" s="9">
        <v>269.92</v>
      </c>
      <c r="H563" s="10">
        <v>45663.320555555547</v>
      </c>
      <c r="I563" s="10">
        <v>45663.320555555547</v>
      </c>
      <c r="J563" s="10">
        <v>45663.321666666663</v>
      </c>
      <c r="K563" s="11">
        <v>1.1111111111111109E-3</v>
      </c>
      <c r="L563" s="13"/>
    </row>
    <row r="564" spans="1:12" x14ac:dyDescent="0.45">
      <c r="A564" s="3" t="s">
        <v>841</v>
      </c>
      <c r="B564" s="3" t="s">
        <v>1440</v>
      </c>
      <c r="C564" s="3" t="s">
        <v>1441</v>
      </c>
      <c r="D564" s="9">
        <v>96</v>
      </c>
      <c r="E564" s="3" t="s">
        <v>139</v>
      </c>
      <c r="F564" s="3" t="s">
        <v>813</v>
      </c>
      <c r="G564" s="9">
        <v>269.92</v>
      </c>
      <c r="H564" s="10">
        <v>45663.475601851853</v>
      </c>
      <c r="I564" s="10">
        <v>45663.475601851853</v>
      </c>
      <c r="J564" s="10">
        <v>45663.476574074077</v>
      </c>
      <c r="K564" s="11">
        <v>9.7222222222222219E-4</v>
      </c>
      <c r="L564" s="13"/>
    </row>
    <row r="565" spans="1:12" x14ac:dyDescent="0.45">
      <c r="A565" s="3" t="s">
        <v>841</v>
      </c>
      <c r="B565" s="3" t="s">
        <v>1442</v>
      </c>
      <c r="C565" s="3" t="s">
        <v>268</v>
      </c>
      <c r="D565" s="9">
        <v>64</v>
      </c>
      <c r="E565" s="3" t="s">
        <v>139</v>
      </c>
      <c r="F565" s="3" t="s">
        <v>815</v>
      </c>
      <c r="G565" s="9">
        <v>405.43</v>
      </c>
      <c r="H565" s="10">
        <v>45663.625601851847</v>
      </c>
      <c r="I565" s="10">
        <v>45663.625601851847</v>
      </c>
      <c r="J565" s="10">
        <v>45663.626875000002</v>
      </c>
      <c r="K565" s="11">
        <v>1.273148148148148E-3</v>
      </c>
      <c r="L565" s="13"/>
    </row>
    <row r="566" spans="1:12" x14ac:dyDescent="0.45">
      <c r="A566" s="3" t="s">
        <v>841</v>
      </c>
      <c r="B566" s="3" t="s">
        <v>1443</v>
      </c>
      <c r="C566" s="3" t="s">
        <v>1444</v>
      </c>
      <c r="D566" s="9">
        <v>80</v>
      </c>
      <c r="E566" s="3" t="s">
        <v>139</v>
      </c>
      <c r="F566" s="3" t="s">
        <v>813</v>
      </c>
      <c r="G566" s="9">
        <v>269.92</v>
      </c>
      <c r="H566" s="10">
        <v>45663.626875000002</v>
      </c>
      <c r="I566" s="10">
        <v>45663.626875000002</v>
      </c>
      <c r="J566" s="10">
        <v>45663.627812500003</v>
      </c>
      <c r="K566" s="11">
        <v>9.3749999999999997E-4</v>
      </c>
      <c r="L566" s="13"/>
    </row>
    <row r="567" spans="1:12" x14ac:dyDescent="0.45">
      <c r="A567" s="3" t="s">
        <v>841</v>
      </c>
      <c r="B567" s="3" t="s">
        <v>1445</v>
      </c>
      <c r="C567" s="3" t="s">
        <v>274</v>
      </c>
      <c r="D567" s="9">
        <v>32</v>
      </c>
      <c r="E567" s="3" t="s">
        <v>139</v>
      </c>
      <c r="F567" s="3" t="s">
        <v>815</v>
      </c>
      <c r="G567" s="9">
        <v>405.43</v>
      </c>
      <c r="H567" s="10">
        <v>45663.627812500003</v>
      </c>
      <c r="I567" s="10">
        <v>45663.627812500003</v>
      </c>
      <c r="J567" s="10">
        <v>45663.629016203697</v>
      </c>
      <c r="K567" s="11">
        <v>1.203703703703704E-3</v>
      </c>
      <c r="L567" s="13"/>
    </row>
    <row r="568" spans="1:12" x14ac:dyDescent="0.45">
      <c r="A568" s="3" t="s">
        <v>841</v>
      </c>
      <c r="B568" s="3" t="s">
        <v>1446</v>
      </c>
      <c r="C568" s="3" t="s">
        <v>276</v>
      </c>
      <c r="D568" s="9">
        <v>48</v>
      </c>
      <c r="E568" s="3" t="s">
        <v>139</v>
      </c>
      <c r="F568" s="3" t="s">
        <v>816</v>
      </c>
      <c r="G568" s="9">
        <v>297.43</v>
      </c>
      <c r="H568" s="10">
        <v>45664.257916666669</v>
      </c>
      <c r="I568" s="10">
        <v>45664.257916666669</v>
      </c>
      <c r="J568" s="10">
        <v>45664.25885416667</v>
      </c>
      <c r="K568" s="11">
        <v>9.3749999999999997E-4</v>
      </c>
      <c r="L568" s="13"/>
    </row>
    <row r="569" spans="1:12" x14ac:dyDescent="0.45">
      <c r="A569" s="3" t="s">
        <v>841</v>
      </c>
      <c r="B569" s="3" t="s">
        <v>1447</v>
      </c>
      <c r="C569" s="3" t="s">
        <v>1448</v>
      </c>
      <c r="D569" s="9">
        <v>112</v>
      </c>
      <c r="E569" s="3" t="s">
        <v>139</v>
      </c>
      <c r="F569" s="3" t="s">
        <v>817</v>
      </c>
      <c r="G569" s="9">
        <v>477.75</v>
      </c>
      <c r="H569" s="10">
        <v>45664.25885416667</v>
      </c>
      <c r="I569" s="10">
        <v>45664.25885416667</v>
      </c>
      <c r="J569" s="10">
        <v>45664.260439814818</v>
      </c>
      <c r="K569" s="11">
        <v>1.5856481481481481E-3</v>
      </c>
      <c r="L569" s="13"/>
    </row>
    <row r="570" spans="1:12" x14ac:dyDescent="0.45">
      <c r="A570" s="3" t="s">
        <v>841</v>
      </c>
      <c r="B570" s="3" t="s">
        <v>1449</v>
      </c>
      <c r="C570" s="3" t="s">
        <v>1450</v>
      </c>
      <c r="D570" s="9">
        <v>128</v>
      </c>
      <c r="E570" s="3" t="s">
        <v>141</v>
      </c>
      <c r="F570" s="3" t="s">
        <v>813</v>
      </c>
      <c r="G570" s="9">
        <v>263.08999999999997</v>
      </c>
      <c r="H570" s="10">
        <v>45664.267465277779</v>
      </c>
      <c r="I570" s="10">
        <v>45664.267465277779</v>
      </c>
      <c r="J570" s="10">
        <v>45664.268495370372</v>
      </c>
      <c r="K570" s="11">
        <v>1.0300925925925931E-3</v>
      </c>
      <c r="L570" s="13"/>
    </row>
    <row r="571" spans="1:12" x14ac:dyDescent="0.45">
      <c r="A571" s="3" t="s">
        <v>841</v>
      </c>
      <c r="B571" s="3" t="s">
        <v>1451</v>
      </c>
      <c r="C571" s="3" t="s">
        <v>288</v>
      </c>
      <c r="D571" s="9">
        <v>80</v>
      </c>
      <c r="E571" s="3" t="s">
        <v>139</v>
      </c>
      <c r="F571" s="3" t="s">
        <v>815</v>
      </c>
      <c r="G571" s="9">
        <v>405.43</v>
      </c>
      <c r="H571" s="10">
        <v>45664.276423611111</v>
      </c>
      <c r="I571" s="10">
        <v>45664.276423611111</v>
      </c>
      <c r="J571" s="10">
        <v>45664.277731481481</v>
      </c>
      <c r="K571" s="11">
        <v>1.30787037037037E-3</v>
      </c>
      <c r="L571" s="13"/>
    </row>
    <row r="572" spans="1:12" x14ac:dyDescent="0.45">
      <c r="A572" s="3" t="s">
        <v>841</v>
      </c>
      <c r="B572" s="3" t="s">
        <v>1452</v>
      </c>
      <c r="C572" s="3" t="s">
        <v>291</v>
      </c>
      <c r="D572" s="9">
        <v>80</v>
      </c>
      <c r="E572" s="3" t="s">
        <v>139</v>
      </c>
      <c r="F572" s="3" t="s">
        <v>814</v>
      </c>
      <c r="G572" s="9">
        <v>450.42</v>
      </c>
      <c r="H572" s="10">
        <v>45664.277731481481</v>
      </c>
      <c r="I572" s="10">
        <v>45664.277731481481</v>
      </c>
      <c r="J572" s="10">
        <v>45664.279178240737</v>
      </c>
      <c r="K572" s="11">
        <v>1.446759259259259E-3</v>
      </c>
      <c r="L572" s="13"/>
    </row>
    <row r="573" spans="1:12" x14ac:dyDescent="0.45">
      <c r="A573" s="3" t="s">
        <v>841</v>
      </c>
      <c r="B573" s="3" t="s">
        <v>1453</v>
      </c>
      <c r="C573" s="3" t="s">
        <v>294</v>
      </c>
      <c r="D573" s="9">
        <v>64</v>
      </c>
      <c r="E573" s="3" t="s">
        <v>139</v>
      </c>
      <c r="F573" s="3" t="s">
        <v>815</v>
      </c>
      <c r="G573" s="9">
        <v>405.43</v>
      </c>
      <c r="H573" s="10">
        <v>45664.279178240737</v>
      </c>
      <c r="I573" s="10">
        <v>45664.279178240737</v>
      </c>
      <c r="J573" s="10">
        <v>45664.280451388891</v>
      </c>
      <c r="K573" s="11">
        <v>1.273148148148148E-3</v>
      </c>
      <c r="L573" s="13"/>
    </row>
    <row r="574" spans="1:12" x14ac:dyDescent="0.45">
      <c r="A574" s="3" t="s">
        <v>841</v>
      </c>
      <c r="B574" s="3" t="s">
        <v>1454</v>
      </c>
      <c r="C574" s="3" t="s">
        <v>296</v>
      </c>
      <c r="D574" s="9">
        <v>32</v>
      </c>
      <c r="E574" s="3" t="s">
        <v>141</v>
      </c>
      <c r="F574" s="3" t="s">
        <v>814</v>
      </c>
      <c r="G574" s="9">
        <v>443.59</v>
      </c>
      <c r="H574" s="10">
        <v>45664.283865740741</v>
      </c>
      <c r="I574" s="10">
        <v>45664.283865740741</v>
      </c>
      <c r="J574" s="10">
        <v>45664.285173611112</v>
      </c>
      <c r="K574" s="11">
        <v>1.30787037037037E-3</v>
      </c>
      <c r="L574" s="13"/>
    </row>
    <row r="575" spans="1:12" x14ac:dyDescent="0.45">
      <c r="A575" s="3" t="s">
        <v>841</v>
      </c>
      <c r="B575" s="3" t="s">
        <v>1455</v>
      </c>
      <c r="C575" s="3" t="s">
        <v>298</v>
      </c>
      <c r="D575" s="9">
        <v>32</v>
      </c>
      <c r="E575" s="3" t="s">
        <v>141</v>
      </c>
      <c r="F575" s="3" t="s">
        <v>819</v>
      </c>
      <c r="G575" s="9">
        <v>405.22</v>
      </c>
      <c r="H575" s="10">
        <v>45664.285173611112</v>
      </c>
      <c r="I575" s="10">
        <v>45664.285173611112</v>
      </c>
      <c r="J575" s="10">
        <v>45664.286377314813</v>
      </c>
      <c r="K575" s="11">
        <v>1.203703703703704E-3</v>
      </c>
      <c r="L575" s="13"/>
    </row>
    <row r="576" spans="1:12" x14ac:dyDescent="0.45">
      <c r="A576" s="3" t="s">
        <v>841</v>
      </c>
      <c r="B576" s="3" t="s">
        <v>1456</v>
      </c>
      <c r="C576" s="3" t="s">
        <v>301</v>
      </c>
      <c r="D576" s="9">
        <v>64</v>
      </c>
      <c r="E576" s="3" t="s">
        <v>141</v>
      </c>
      <c r="F576" s="3" t="s">
        <v>818</v>
      </c>
      <c r="G576" s="9">
        <v>453.13</v>
      </c>
      <c r="H576" s="10">
        <v>45664.286377314813</v>
      </c>
      <c r="I576" s="10">
        <v>45664.286377314813</v>
      </c>
      <c r="J576" s="10">
        <v>45664.287789351853</v>
      </c>
      <c r="K576" s="11">
        <v>1.4120370370370369E-3</v>
      </c>
      <c r="L576" s="13"/>
    </row>
    <row r="577" spans="1:12" x14ac:dyDescent="0.45">
      <c r="A577" s="3" t="s">
        <v>841</v>
      </c>
      <c r="B577" s="3" t="s">
        <v>1457</v>
      </c>
      <c r="C577" s="3" t="s">
        <v>1458</v>
      </c>
      <c r="D577" s="9">
        <v>96</v>
      </c>
      <c r="E577" s="3" t="s">
        <v>139</v>
      </c>
      <c r="F577" s="3" t="s">
        <v>820</v>
      </c>
      <c r="G577" s="9">
        <v>405.03</v>
      </c>
      <c r="H577" s="10">
        <v>45664.291331018518</v>
      </c>
      <c r="I577" s="10">
        <v>45664.291331018518</v>
      </c>
      <c r="J577" s="10">
        <v>45664.292685185188</v>
      </c>
      <c r="K577" s="11">
        <v>1.3541666666666669E-3</v>
      </c>
      <c r="L577" s="13"/>
    </row>
    <row r="578" spans="1:12" x14ac:dyDescent="0.45">
      <c r="A578" s="3" t="s">
        <v>841</v>
      </c>
      <c r="B578" s="3" t="s">
        <v>1459</v>
      </c>
      <c r="C578" s="3" t="s">
        <v>1460</v>
      </c>
      <c r="D578" s="9">
        <v>80</v>
      </c>
      <c r="E578" s="3" t="s">
        <v>141</v>
      </c>
      <c r="F578" s="3" t="s">
        <v>818</v>
      </c>
      <c r="G578" s="9">
        <v>453.13</v>
      </c>
      <c r="H578" s="10">
        <v>45664.300185185188</v>
      </c>
      <c r="I578" s="10">
        <v>45664.300185185188</v>
      </c>
      <c r="J578" s="10">
        <v>45664.301620370366</v>
      </c>
      <c r="K578" s="11">
        <v>1.435185185185185E-3</v>
      </c>
      <c r="L578" s="13"/>
    </row>
    <row r="579" spans="1:12" x14ac:dyDescent="0.45">
      <c r="A579" s="3" t="s">
        <v>841</v>
      </c>
      <c r="B579" s="3" t="s">
        <v>1461</v>
      </c>
      <c r="C579" s="3" t="s">
        <v>1462</v>
      </c>
      <c r="D579" s="9">
        <v>112</v>
      </c>
      <c r="E579" s="3" t="s">
        <v>141</v>
      </c>
      <c r="F579" s="3" t="s">
        <v>819</v>
      </c>
      <c r="G579" s="9">
        <v>405.22</v>
      </c>
      <c r="H579" s="10">
        <v>45664.301620370366</v>
      </c>
      <c r="I579" s="10">
        <v>45664.301620370366</v>
      </c>
      <c r="J579" s="10">
        <v>45664.30300925926</v>
      </c>
      <c r="K579" s="11">
        <v>1.3888888888888889E-3</v>
      </c>
      <c r="L579" s="13"/>
    </row>
    <row r="580" spans="1:12" x14ac:dyDescent="0.45">
      <c r="A580" s="3" t="s">
        <v>841</v>
      </c>
      <c r="B580" s="3" t="s">
        <v>1463</v>
      </c>
      <c r="C580" s="3" t="s">
        <v>1464</v>
      </c>
      <c r="D580" s="9">
        <v>128</v>
      </c>
      <c r="E580" s="3" t="s">
        <v>139</v>
      </c>
      <c r="F580" s="3" t="s">
        <v>813</v>
      </c>
      <c r="G580" s="9">
        <v>269.92</v>
      </c>
      <c r="H580" s="10">
        <v>45664.548784722218</v>
      </c>
      <c r="I580" s="10">
        <v>45664.548784722218</v>
      </c>
      <c r="J580" s="10">
        <v>45664.549826388888</v>
      </c>
      <c r="K580" s="11">
        <v>1.0416666666666671E-3</v>
      </c>
      <c r="L580" s="13"/>
    </row>
    <row r="581" spans="1:12" x14ac:dyDescent="0.45">
      <c r="A581" s="3" t="s">
        <v>841</v>
      </c>
      <c r="B581" s="3" t="s">
        <v>1465</v>
      </c>
      <c r="C581" s="3" t="s">
        <v>1466</v>
      </c>
      <c r="D581" s="9">
        <v>80</v>
      </c>
      <c r="E581" s="3" t="s">
        <v>139</v>
      </c>
      <c r="F581" s="3" t="s">
        <v>820</v>
      </c>
      <c r="G581" s="9">
        <v>405.03</v>
      </c>
      <c r="H581" s="10">
        <v>45664.693993055553</v>
      </c>
      <c r="I581" s="10">
        <v>45664.693993055553</v>
      </c>
      <c r="J581" s="10">
        <v>45664.695300925923</v>
      </c>
      <c r="K581" s="11">
        <v>1.30787037037037E-3</v>
      </c>
      <c r="L581" s="13"/>
    </row>
    <row r="582" spans="1:12" x14ac:dyDescent="0.45">
      <c r="A582" s="3" t="s">
        <v>841</v>
      </c>
      <c r="B582" s="3" t="s">
        <v>1467</v>
      </c>
      <c r="C582" s="3" t="s">
        <v>330</v>
      </c>
      <c r="D582" s="9">
        <v>32</v>
      </c>
      <c r="E582" s="3" t="s">
        <v>154</v>
      </c>
      <c r="F582" s="3" t="s">
        <v>813</v>
      </c>
      <c r="G582" s="9">
        <v>354.81</v>
      </c>
      <c r="H582" s="10">
        <v>45664.839097222219</v>
      </c>
      <c r="I582" s="10">
        <v>45664.839097222219</v>
      </c>
      <c r="J582" s="10">
        <v>45664.840150462973</v>
      </c>
      <c r="K582" s="11">
        <v>1.0532407407407411E-3</v>
      </c>
      <c r="L582" s="13"/>
    </row>
    <row r="583" spans="1:12" x14ac:dyDescent="0.45">
      <c r="A583" s="3" t="s">
        <v>841</v>
      </c>
      <c r="B583" s="3" t="s">
        <v>1468</v>
      </c>
      <c r="C583" s="3" t="s">
        <v>333</v>
      </c>
      <c r="D583" s="9">
        <v>32</v>
      </c>
      <c r="E583" s="3" t="s">
        <v>154</v>
      </c>
      <c r="F583" s="3" t="s">
        <v>816</v>
      </c>
      <c r="G583" s="9">
        <v>382.32000000000011</v>
      </c>
      <c r="H583" s="10">
        <v>45664.840150462973</v>
      </c>
      <c r="I583" s="10">
        <v>45664.840150462973</v>
      </c>
      <c r="J583" s="10">
        <v>45664.841296296298</v>
      </c>
      <c r="K583" s="11">
        <v>1.1458333333333329E-3</v>
      </c>
      <c r="L583" s="13"/>
    </row>
    <row r="584" spans="1:12" x14ac:dyDescent="0.45">
      <c r="A584" s="3" t="s">
        <v>841</v>
      </c>
      <c r="B584" s="3" t="s">
        <v>1469</v>
      </c>
      <c r="C584" s="3" t="s">
        <v>349</v>
      </c>
      <c r="D584" s="9">
        <v>32</v>
      </c>
      <c r="E584" s="3" t="s">
        <v>154</v>
      </c>
      <c r="F584" s="3" t="s">
        <v>814</v>
      </c>
      <c r="G584" s="9">
        <v>535.30999999999995</v>
      </c>
      <c r="H584" s="10">
        <v>45665.235798611109</v>
      </c>
      <c r="I584" s="10">
        <v>45665.235798611109</v>
      </c>
      <c r="J584" s="10">
        <v>45665.237361111111</v>
      </c>
      <c r="K584" s="11">
        <v>1.5625000000000001E-3</v>
      </c>
      <c r="L584" s="13"/>
    </row>
    <row r="585" spans="1:12" x14ac:dyDescent="0.45">
      <c r="A585" s="3" t="s">
        <v>841</v>
      </c>
      <c r="B585" s="3" t="s">
        <v>1470</v>
      </c>
      <c r="C585" s="3" t="s">
        <v>353</v>
      </c>
      <c r="D585" s="9">
        <v>32</v>
      </c>
      <c r="E585" s="3" t="s">
        <v>154</v>
      </c>
      <c r="F585" s="3" t="s">
        <v>817</v>
      </c>
      <c r="G585" s="9">
        <v>562.6400000000001</v>
      </c>
      <c r="H585" s="10">
        <v>45665.237361111111</v>
      </c>
      <c r="I585" s="10">
        <v>45665.237361111111</v>
      </c>
      <c r="J585" s="10">
        <v>45665.238993055558</v>
      </c>
      <c r="K585" s="11">
        <v>1.631944444444445E-3</v>
      </c>
      <c r="L585" s="13"/>
    </row>
    <row r="586" spans="1:12" x14ac:dyDescent="0.45">
      <c r="A586" s="3" t="s">
        <v>841</v>
      </c>
      <c r="B586" s="3" t="s">
        <v>1471</v>
      </c>
      <c r="C586" s="3" t="s">
        <v>1472</v>
      </c>
      <c r="D586" s="9">
        <v>96</v>
      </c>
      <c r="E586" s="3" t="s">
        <v>141</v>
      </c>
      <c r="F586" s="3" t="s">
        <v>815</v>
      </c>
      <c r="G586" s="9">
        <v>398.6</v>
      </c>
      <c r="H586" s="10">
        <v>45665.239861111113</v>
      </c>
      <c r="I586" s="10">
        <v>45665.239861111113</v>
      </c>
      <c r="J586" s="10">
        <v>45665.24119212963</v>
      </c>
      <c r="K586" s="11">
        <v>1.3310185185185181E-3</v>
      </c>
      <c r="L586" s="13"/>
    </row>
    <row r="587" spans="1:12" x14ac:dyDescent="0.45">
      <c r="A587" s="3" t="s">
        <v>841</v>
      </c>
      <c r="B587" s="3" t="s">
        <v>1473</v>
      </c>
      <c r="C587" s="3" t="s">
        <v>336</v>
      </c>
      <c r="D587" s="9">
        <v>32</v>
      </c>
      <c r="E587" s="3" t="s">
        <v>139</v>
      </c>
      <c r="F587" s="3" t="s">
        <v>816</v>
      </c>
      <c r="G587" s="9">
        <v>297.43</v>
      </c>
      <c r="H587" s="10">
        <v>45665.242071759261</v>
      </c>
      <c r="I587" s="10">
        <v>45665.242071759261</v>
      </c>
      <c r="J587" s="10">
        <v>45665.242974537039</v>
      </c>
      <c r="K587" s="11">
        <v>9.0277777777777774E-4</v>
      </c>
      <c r="L587" s="13"/>
    </row>
    <row r="588" spans="1:12" x14ac:dyDescent="0.45">
      <c r="A588" s="3" t="s">
        <v>841</v>
      </c>
      <c r="B588" s="3" t="s">
        <v>1474</v>
      </c>
      <c r="C588" s="3" t="s">
        <v>1475</v>
      </c>
      <c r="D588" s="9">
        <v>96</v>
      </c>
      <c r="E588" s="3" t="s">
        <v>139</v>
      </c>
      <c r="F588" s="3" t="s">
        <v>813</v>
      </c>
      <c r="G588" s="9">
        <v>269.92</v>
      </c>
      <c r="H588" s="10">
        <v>45665.242974537039</v>
      </c>
      <c r="I588" s="10">
        <v>45665.242974537039</v>
      </c>
      <c r="J588" s="10">
        <v>45665.243946759263</v>
      </c>
      <c r="K588" s="11">
        <v>9.7222222222222219E-4</v>
      </c>
      <c r="L588" s="13"/>
    </row>
    <row r="589" spans="1:12" x14ac:dyDescent="0.45">
      <c r="A589" s="3" t="s">
        <v>841</v>
      </c>
      <c r="B589" s="3" t="s">
        <v>1476</v>
      </c>
      <c r="C589" s="3" t="s">
        <v>342</v>
      </c>
      <c r="D589" s="9">
        <v>64</v>
      </c>
      <c r="E589" s="3" t="s">
        <v>139</v>
      </c>
      <c r="F589" s="3" t="s">
        <v>816</v>
      </c>
      <c r="G589" s="9">
        <v>297.43</v>
      </c>
      <c r="H589" s="10">
        <v>45665.243946759263</v>
      </c>
      <c r="I589" s="10">
        <v>45665.243946759263</v>
      </c>
      <c r="J589" s="10">
        <v>45665.24491898148</v>
      </c>
      <c r="K589" s="11">
        <v>9.7222222222222219E-4</v>
      </c>
      <c r="L589" s="13"/>
    </row>
    <row r="590" spans="1:12" x14ac:dyDescent="0.45">
      <c r="A590" s="3" t="s">
        <v>841</v>
      </c>
      <c r="B590" s="3" t="s">
        <v>1477</v>
      </c>
      <c r="C590" s="3" t="s">
        <v>357</v>
      </c>
      <c r="D590" s="9">
        <v>32</v>
      </c>
      <c r="E590" s="3" t="s">
        <v>139</v>
      </c>
      <c r="F590" s="3" t="s">
        <v>813</v>
      </c>
      <c r="G590" s="9">
        <v>269.92</v>
      </c>
      <c r="H590" s="10">
        <v>45665.383171296293</v>
      </c>
      <c r="I590" s="10">
        <v>45665.383171296293</v>
      </c>
      <c r="J590" s="10">
        <v>45665.383993055562</v>
      </c>
      <c r="K590" s="11">
        <v>8.2175925925925927E-4</v>
      </c>
      <c r="L590" s="13"/>
    </row>
    <row r="591" spans="1:12" x14ac:dyDescent="0.45">
      <c r="A591" s="3" t="s">
        <v>841</v>
      </c>
      <c r="B591" s="3" t="s">
        <v>1478</v>
      </c>
      <c r="C591" s="3" t="s">
        <v>1479</v>
      </c>
      <c r="D591" s="9">
        <v>144</v>
      </c>
      <c r="E591" s="3" t="s">
        <v>139</v>
      </c>
      <c r="F591" s="3" t="s">
        <v>817</v>
      </c>
      <c r="G591" s="9">
        <v>477.75</v>
      </c>
      <c r="H591" s="10">
        <v>45665.383993055562</v>
      </c>
      <c r="I591" s="10">
        <v>45665.383993055562</v>
      </c>
      <c r="J591" s="10">
        <v>45665.385659722233</v>
      </c>
      <c r="K591" s="11">
        <v>1.666666666666667E-3</v>
      </c>
      <c r="L591" s="13"/>
    </row>
    <row r="592" spans="1:12" x14ac:dyDescent="0.45">
      <c r="A592" s="3" t="s">
        <v>841</v>
      </c>
      <c r="B592" s="3" t="s">
        <v>1480</v>
      </c>
      <c r="C592" s="3" t="s">
        <v>1481</v>
      </c>
      <c r="D592" s="9">
        <v>144</v>
      </c>
      <c r="E592" s="3" t="s">
        <v>141</v>
      </c>
      <c r="F592" s="3" t="s">
        <v>815</v>
      </c>
      <c r="G592" s="9">
        <v>398.6</v>
      </c>
      <c r="H592" s="10">
        <v>45665.387685185182</v>
      </c>
      <c r="I592" s="10">
        <v>45665.387685185182</v>
      </c>
      <c r="J592" s="10">
        <v>45665.389131944437</v>
      </c>
      <c r="K592" s="11">
        <v>1.446759259259259E-3</v>
      </c>
      <c r="L592" s="13"/>
    </row>
    <row r="593" spans="1:12" x14ac:dyDescent="0.45">
      <c r="A593" s="3" t="s">
        <v>841</v>
      </c>
      <c r="B593" s="3" t="s">
        <v>1482</v>
      </c>
      <c r="C593" s="3" t="s">
        <v>374</v>
      </c>
      <c r="D593" s="9">
        <v>32</v>
      </c>
      <c r="E593" s="3" t="s">
        <v>139</v>
      </c>
      <c r="F593" s="3" t="s">
        <v>816</v>
      </c>
      <c r="G593" s="9">
        <v>297.43</v>
      </c>
      <c r="H593" s="10">
        <v>45665.405057870368</v>
      </c>
      <c r="I593" s="10">
        <v>45665.405057870368</v>
      </c>
      <c r="J593" s="10">
        <v>45665.405949074076</v>
      </c>
      <c r="K593" s="11">
        <v>8.9120370370370373E-4</v>
      </c>
      <c r="L593" s="13"/>
    </row>
    <row r="594" spans="1:12" x14ac:dyDescent="0.45">
      <c r="A594" s="3" t="s">
        <v>841</v>
      </c>
      <c r="B594" s="3" t="s">
        <v>1483</v>
      </c>
      <c r="C594" s="3" t="s">
        <v>1484</v>
      </c>
      <c r="D594" s="9">
        <v>160</v>
      </c>
      <c r="E594" s="3" t="s">
        <v>139</v>
      </c>
      <c r="F594" s="3" t="s">
        <v>819</v>
      </c>
      <c r="G594" s="9">
        <v>412.05</v>
      </c>
      <c r="H594" s="10">
        <v>45665.405949074076</v>
      </c>
      <c r="I594" s="10">
        <v>45665.405949074076</v>
      </c>
      <c r="J594" s="10">
        <v>45665.407465277778</v>
      </c>
      <c r="K594" s="11">
        <v>1.5162037037037041E-3</v>
      </c>
      <c r="L594" s="13"/>
    </row>
    <row r="595" spans="1:12" x14ac:dyDescent="0.45">
      <c r="A595" s="3" t="s">
        <v>841</v>
      </c>
      <c r="B595" s="3" t="s">
        <v>1485</v>
      </c>
      <c r="C595" s="3" t="s">
        <v>1486</v>
      </c>
      <c r="D595" s="9">
        <v>160</v>
      </c>
      <c r="E595" s="3" t="s">
        <v>141</v>
      </c>
      <c r="F595" s="3" t="s">
        <v>818</v>
      </c>
      <c r="G595" s="9">
        <v>453.13</v>
      </c>
      <c r="H595" s="10">
        <v>45665.410243055558</v>
      </c>
      <c r="I595" s="10">
        <v>45665.410243055558</v>
      </c>
      <c r="J595" s="10">
        <v>45665.411874999998</v>
      </c>
      <c r="K595" s="11">
        <v>1.631944444444445E-3</v>
      </c>
      <c r="L595" s="13"/>
    </row>
    <row r="596" spans="1:12" x14ac:dyDescent="0.45">
      <c r="A596" s="3" t="s">
        <v>841</v>
      </c>
      <c r="B596" s="3" t="s">
        <v>1487</v>
      </c>
      <c r="C596" s="3" t="s">
        <v>1488</v>
      </c>
      <c r="D596" s="9">
        <v>176</v>
      </c>
      <c r="E596" s="3" t="s">
        <v>139</v>
      </c>
      <c r="F596" s="3" t="s">
        <v>816</v>
      </c>
      <c r="G596" s="9">
        <v>297.43</v>
      </c>
      <c r="H596" s="10">
        <v>45665.429652777777</v>
      </c>
      <c r="I596" s="10">
        <v>45665.429652777777</v>
      </c>
      <c r="J596" s="10">
        <v>45665.430891203701</v>
      </c>
      <c r="K596" s="11">
        <v>1.238425925925926E-3</v>
      </c>
      <c r="L596" s="13"/>
    </row>
    <row r="597" spans="1:12" x14ac:dyDescent="0.45">
      <c r="A597" s="3" t="s">
        <v>841</v>
      </c>
      <c r="B597" s="3" t="s">
        <v>1489</v>
      </c>
      <c r="C597" s="3" t="s">
        <v>397</v>
      </c>
      <c r="D597" s="9">
        <v>80</v>
      </c>
      <c r="E597" s="3" t="s">
        <v>139</v>
      </c>
      <c r="F597" s="3" t="s">
        <v>820</v>
      </c>
      <c r="G597" s="9">
        <v>405.03</v>
      </c>
      <c r="H597" s="10">
        <v>45665.430891203701</v>
      </c>
      <c r="I597" s="10">
        <v>45665.430891203701</v>
      </c>
      <c r="J597" s="10">
        <v>45665.432199074072</v>
      </c>
      <c r="K597" s="11">
        <v>1.30787037037037E-3</v>
      </c>
      <c r="L597" s="13"/>
    </row>
    <row r="598" spans="1:12" x14ac:dyDescent="0.45">
      <c r="A598" s="3" t="s">
        <v>841</v>
      </c>
      <c r="B598" s="3" t="s">
        <v>1490</v>
      </c>
      <c r="C598" s="3" t="s">
        <v>400</v>
      </c>
      <c r="D598" s="9">
        <v>48</v>
      </c>
      <c r="E598" s="3" t="s">
        <v>139</v>
      </c>
      <c r="F598" s="3" t="s">
        <v>820</v>
      </c>
      <c r="G598" s="9">
        <v>405.03</v>
      </c>
      <c r="H598" s="10">
        <v>45665.601805555547</v>
      </c>
      <c r="I598" s="10">
        <v>45665.601805555547</v>
      </c>
      <c r="J598" s="10">
        <v>45665.603032407409</v>
      </c>
      <c r="K598" s="11">
        <v>1.226851851851852E-3</v>
      </c>
      <c r="L598" s="13"/>
    </row>
    <row r="599" spans="1:12" x14ac:dyDescent="0.45">
      <c r="A599" s="3" t="s">
        <v>841</v>
      </c>
      <c r="B599" s="3" t="s">
        <v>1491</v>
      </c>
      <c r="C599" s="3" t="s">
        <v>1492</v>
      </c>
      <c r="D599" s="9">
        <v>112</v>
      </c>
      <c r="E599" s="3" t="s">
        <v>139</v>
      </c>
      <c r="F599" s="3" t="s">
        <v>813</v>
      </c>
      <c r="G599" s="9">
        <v>269.92</v>
      </c>
      <c r="H599" s="10">
        <v>45665.603032407409</v>
      </c>
      <c r="I599" s="10">
        <v>45665.603032407409</v>
      </c>
      <c r="J599" s="10">
        <v>45665.604050925933</v>
      </c>
      <c r="K599" s="11">
        <v>1.018518518518518E-3</v>
      </c>
      <c r="L599" s="13"/>
    </row>
    <row r="600" spans="1:12" x14ac:dyDescent="0.45">
      <c r="A600" s="3" t="s">
        <v>841</v>
      </c>
      <c r="B600" s="3" t="s">
        <v>1493</v>
      </c>
      <c r="C600" s="3" t="s">
        <v>1494</v>
      </c>
      <c r="D600" s="9">
        <v>112</v>
      </c>
      <c r="E600" s="3" t="s">
        <v>139</v>
      </c>
      <c r="F600" s="3" t="s">
        <v>813</v>
      </c>
      <c r="G600" s="9">
        <v>269.92</v>
      </c>
      <c r="H600" s="10">
        <v>45665.757013888891</v>
      </c>
      <c r="I600" s="10">
        <v>45665.757013888891</v>
      </c>
      <c r="J600" s="10">
        <v>45665.758020833331</v>
      </c>
      <c r="K600" s="11">
        <v>1.006944444444444E-3</v>
      </c>
      <c r="L600" s="13"/>
    </row>
    <row r="601" spans="1:12" x14ac:dyDescent="0.45">
      <c r="A601" s="3" t="s">
        <v>841</v>
      </c>
      <c r="B601" s="3" t="s">
        <v>1495</v>
      </c>
      <c r="C601" s="3" t="s">
        <v>1496</v>
      </c>
      <c r="D601" s="9">
        <v>256</v>
      </c>
      <c r="E601" s="3" t="s">
        <v>139</v>
      </c>
      <c r="F601" s="3" t="s">
        <v>813</v>
      </c>
      <c r="G601" s="9">
        <v>269.92</v>
      </c>
      <c r="H601" s="10">
        <v>45665.905578703707</v>
      </c>
      <c r="I601" s="10">
        <v>45665.905578703707</v>
      </c>
      <c r="J601" s="10">
        <v>45665.906921296293</v>
      </c>
      <c r="K601" s="11">
        <v>1.3425925925925921E-3</v>
      </c>
      <c r="L601" s="13"/>
    </row>
    <row r="602" spans="1:12" x14ac:dyDescent="0.45">
      <c r="A602" s="3" t="s">
        <v>841</v>
      </c>
      <c r="B602" s="3" t="s">
        <v>1497</v>
      </c>
      <c r="C602" s="3" t="s">
        <v>1498</v>
      </c>
      <c r="D602" s="9">
        <v>96</v>
      </c>
      <c r="E602" s="3" t="s">
        <v>139</v>
      </c>
      <c r="F602" s="3" t="s">
        <v>813</v>
      </c>
      <c r="G602" s="9">
        <v>269.92</v>
      </c>
      <c r="H602" s="10">
        <v>45666.215590277781</v>
      </c>
      <c r="I602" s="10">
        <v>45666.215590277781</v>
      </c>
      <c r="J602" s="10">
        <v>45666.216562499998</v>
      </c>
      <c r="K602" s="11">
        <v>9.7222222222222219E-4</v>
      </c>
      <c r="L602" s="13"/>
    </row>
    <row r="603" spans="1:12" x14ac:dyDescent="0.45">
      <c r="A603" s="3" t="s">
        <v>841</v>
      </c>
      <c r="B603" s="3" t="s">
        <v>1499</v>
      </c>
      <c r="C603" s="3" t="s">
        <v>427</v>
      </c>
      <c r="D603" s="9">
        <v>32</v>
      </c>
      <c r="E603" s="3" t="s">
        <v>139</v>
      </c>
      <c r="F603" s="3" t="s">
        <v>816</v>
      </c>
      <c r="G603" s="9">
        <v>297.43</v>
      </c>
      <c r="H603" s="10">
        <v>45666.216562499998</v>
      </c>
      <c r="I603" s="10">
        <v>45666.216562499998</v>
      </c>
      <c r="J603" s="10">
        <v>45666.217465277783</v>
      </c>
      <c r="K603" s="11">
        <v>9.0277777777777774E-4</v>
      </c>
      <c r="L603" s="13"/>
    </row>
    <row r="604" spans="1:12" x14ac:dyDescent="0.45">
      <c r="A604" s="3" t="s">
        <v>841</v>
      </c>
      <c r="B604" s="3" t="s">
        <v>1500</v>
      </c>
      <c r="C604" s="3" t="s">
        <v>1501</v>
      </c>
      <c r="D604" s="9">
        <v>176</v>
      </c>
      <c r="E604" s="3" t="s">
        <v>141</v>
      </c>
      <c r="F604" s="3" t="s">
        <v>817</v>
      </c>
      <c r="G604" s="9">
        <v>470.92</v>
      </c>
      <c r="H604" s="10">
        <v>45666.22216435185</v>
      </c>
      <c r="I604" s="10">
        <v>45666.22216435185</v>
      </c>
      <c r="J604" s="10">
        <v>45666.223877314813</v>
      </c>
      <c r="K604" s="11">
        <v>1.712962962962963E-3</v>
      </c>
      <c r="L604" s="13"/>
    </row>
    <row r="605" spans="1:12" x14ac:dyDescent="0.45">
      <c r="A605" s="3" t="s">
        <v>841</v>
      </c>
      <c r="B605" s="3" t="s">
        <v>1502</v>
      </c>
      <c r="C605" s="3" t="s">
        <v>437</v>
      </c>
      <c r="D605" s="9">
        <v>48</v>
      </c>
      <c r="E605" s="3" t="s">
        <v>139</v>
      </c>
      <c r="F605" s="3" t="s">
        <v>813</v>
      </c>
      <c r="G605" s="9">
        <v>269.92</v>
      </c>
      <c r="H605" s="10">
        <v>45666.234907407408</v>
      </c>
      <c r="I605" s="10">
        <v>45666.234907407408</v>
      </c>
      <c r="J605" s="10">
        <v>45666.235775462963</v>
      </c>
      <c r="K605" s="11">
        <v>8.6805555555555551E-4</v>
      </c>
      <c r="L605" s="13"/>
    </row>
    <row r="606" spans="1:12" x14ac:dyDescent="0.45">
      <c r="A606" s="3" t="s">
        <v>841</v>
      </c>
      <c r="B606" s="3" t="s">
        <v>1503</v>
      </c>
      <c r="C606" s="3" t="s">
        <v>439</v>
      </c>
      <c r="D606" s="9">
        <v>48</v>
      </c>
      <c r="E606" s="3" t="s">
        <v>139</v>
      </c>
      <c r="F606" s="3" t="s">
        <v>815</v>
      </c>
      <c r="G606" s="9">
        <v>405.43</v>
      </c>
      <c r="H606" s="10">
        <v>45666.235775462963</v>
      </c>
      <c r="I606" s="10">
        <v>45666.235775462963</v>
      </c>
      <c r="J606" s="10">
        <v>45666.237013888887</v>
      </c>
      <c r="K606" s="11">
        <v>1.238425925925926E-3</v>
      </c>
      <c r="L606" s="13"/>
    </row>
    <row r="607" spans="1:12" x14ac:dyDescent="0.45">
      <c r="A607" s="3" t="s">
        <v>841</v>
      </c>
      <c r="B607" s="3" t="s">
        <v>1504</v>
      </c>
      <c r="C607" s="3" t="s">
        <v>442</v>
      </c>
      <c r="D607" s="9">
        <v>48</v>
      </c>
      <c r="E607" s="3" t="s">
        <v>139</v>
      </c>
      <c r="F607" s="3" t="s">
        <v>814</v>
      </c>
      <c r="G607" s="9">
        <v>450.42</v>
      </c>
      <c r="H607" s="10">
        <v>45666.237013888887</v>
      </c>
      <c r="I607" s="10">
        <v>45666.237013888887</v>
      </c>
      <c r="J607" s="10">
        <v>45666.238368055558</v>
      </c>
      <c r="K607" s="11">
        <v>1.3541666666666669E-3</v>
      </c>
      <c r="L607" s="13"/>
    </row>
    <row r="608" spans="1:12" x14ac:dyDescent="0.45">
      <c r="A608" s="3" t="s">
        <v>841</v>
      </c>
      <c r="B608" s="3" t="s">
        <v>1505</v>
      </c>
      <c r="C608" s="3" t="s">
        <v>444</v>
      </c>
      <c r="D608" s="9">
        <v>32</v>
      </c>
      <c r="E608" s="3" t="s">
        <v>139</v>
      </c>
      <c r="F608" s="3" t="s">
        <v>815</v>
      </c>
      <c r="G608" s="9">
        <v>405.43</v>
      </c>
      <c r="H608" s="10">
        <v>45666.238368055558</v>
      </c>
      <c r="I608" s="10">
        <v>45666.238368055558</v>
      </c>
      <c r="J608" s="10">
        <v>45666.239571759259</v>
      </c>
      <c r="K608" s="11">
        <v>1.203703703703704E-3</v>
      </c>
      <c r="L608" s="13"/>
    </row>
    <row r="609" spans="1:12" x14ac:dyDescent="0.45">
      <c r="A609" s="3" t="s">
        <v>841</v>
      </c>
      <c r="B609" s="3" t="s">
        <v>1506</v>
      </c>
      <c r="C609" s="3" t="s">
        <v>1507</v>
      </c>
      <c r="D609" s="9">
        <v>208</v>
      </c>
      <c r="E609" s="3" t="s">
        <v>141</v>
      </c>
      <c r="F609" s="3" t="s">
        <v>816</v>
      </c>
      <c r="G609" s="9">
        <v>290.60000000000002</v>
      </c>
      <c r="H609" s="10">
        <v>45666.240439814806</v>
      </c>
      <c r="I609" s="10">
        <v>45666.240439814806</v>
      </c>
      <c r="J609" s="10">
        <v>45666.241724537038</v>
      </c>
      <c r="K609" s="11">
        <v>1.284722222222222E-3</v>
      </c>
      <c r="L609" s="13"/>
    </row>
    <row r="610" spans="1:12" x14ac:dyDescent="0.45">
      <c r="A610" s="3" t="s">
        <v>841</v>
      </c>
      <c r="B610" s="3" t="s">
        <v>1508</v>
      </c>
      <c r="C610" s="3" t="s">
        <v>1509</v>
      </c>
      <c r="D610" s="9">
        <v>144</v>
      </c>
      <c r="E610" s="3" t="s">
        <v>171</v>
      </c>
      <c r="F610" s="3" t="s">
        <v>815</v>
      </c>
      <c r="G610" s="9">
        <v>371.24</v>
      </c>
      <c r="H610" s="10">
        <v>45666.242592592593</v>
      </c>
      <c r="I610" s="10">
        <v>45666.242592592593</v>
      </c>
      <c r="J610" s="10">
        <v>45666.243958333333</v>
      </c>
      <c r="K610" s="11">
        <v>1.3657407407407409E-3</v>
      </c>
      <c r="L610" s="13"/>
    </row>
    <row r="611" spans="1:12" x14ac:dyDescent="0.45">
      <c r="A611" s="3" t="s">
        <v>841</v>
      </c>
      <c r="B611" s="3" t="s">
        <v>1510</v>
      </c>
      <c r="C611" s="3" t="s">
        <v>1511</v>
      </c>
      <c r="D611" s="9">
        <v>96</v>
      </c>
      <c r="E611" s="3" t="s">
        <v>173</v>
      </c>
      <c r="F611" s="3" t="s">
        <v>818</v>
      </c>
      <c r="G611" s="9">
        <v>398.9</v>
      </c>
      <c r="H611" s="10">
        <v>45666.244826388887</v>
      </c>
      <c r="I611" s="10">
        <v>45666.244826388887</v>
      </c>
      <c r="J611" s="10">
        <v>45666.246157407397</v>
      </c>
      <c r="K611" s="11">
        <v>1.3310185185185181E-3</v>
      </c>
      <c r="L611" s="13"/>
    </row>
    <row r="612" spans="1:12" x14ac:dyDescent="0.45">
      <c r="A612" s="3" t="s">
        <v>841</v>
      </c>
      <c r="B612" s="3" t="s">
        <v>1512</v>
      </c>
      <c r="C612" s="3" t="s">
        <v>1513</v>
      </c>
      <c r="D612" s="9">
        <v>160</v>
      </c>
      <c r="E612" s="3" t="s">
        <v>139</v>
      </c>
      <c r="F612" s="3" t="s">
        <v>819</v>
      </c>
      <c r="G612" s="9">
        <v>412.05</v>
      </c>
      <c r="H612" s="10">
        <v>45666.247800925928</v>
      </c>
      <c r="I612" s="10">
        <v>45666.247800925928</v>
      </c>
      <c r="J612" s="10">
        <v>45666.24931712963</v>
      </c>
      <c r="K612" s="11">
        <v>1.5162037037037041E-3</v>
      </c>
      <c r="L612" s="13"/>
    </row>
    <row r="613" spans="1:12" x14ac:dyDescent="0.45">
      <c r="A613" s="3" t="s">
        <v>841</v>
      </c>
      <c r="B613" s="3" t="s">
        <v>1514</v>
      </c>
      <c r="C613" s="3" t="s">
        <v>474</v>
      </c>
      <c r="D613" s="9">
        <v>80</v>
      </c>
      <c r="E613" s="3" t="s">
        <v>141</v>
      </c>
      <c r="F613" s="3" t="s">
        <v>821</v>
      </c>
      <c r="G613" s="9">
        <v>371.57</v>
      </c>
      <c r="H613" s="10">
        <v>45666.254710648151</v>
      </c>
      <c r="I613" s="10">
        <v>45666.254710648151</v>
      </c>
      <c r="J613" s="10">
        <v>45666.255925925929</v>
      </c>
      <c r="K613" s="11">
        <v>1.215277777777778E-3</v>
      </c>
      <c r="L613" s="13"/>
    </row>
    <row r="614" spans="1:12" x14ac:dyDescent="0.45">
      <c r="A614" s="3" t="s">
        <v>841</v>
      </c>
      <c r="B614" s="3" t="s">
        <v>1515</v>
      </c>
      <c r="C614" s="3" t="s">
        <v>477</v>
      </c>
      <c r="D614" s="9">
        <v>48</v>
      </c>
      <c r="E614" s="3" t="s">
        <v>141</v>
      </c>
      <c r="F614" s="3" t="s">
        <v>820</v>
      </c>
      <c r="G614" s="9">
        <v>398.2</v>
      </c>
      <c r="H614" s="10">
        <v>45666.255925925929</v>
      </c>
      <c r="I614" s="10">
        <v>45666.255925925929</v>
      </c>
      <c r="J614" s="10">
        <v>45666.257152777784</v>
      </c>
      <c r="K614" s="11">
        <v>1.226851851851852E-3</v>
      </c>
      <c r="L614" s="13"/>
    </row>
    <row r="615" spans="1:12" x14ac:dyDescent="0.45">
      <c r="A615" s="3" t="s">
        <v>841</v>
      </c>
      <c r="B615" s="3" t="s">
        <v>1516</v>
      </c>
      <c r="C615" s="3" t="s">
        <v>480</v>
      </c>
      <c r="D615" s="9">
        <v>48</v>
      </c>
      <c r="E615" s="3" t="s">
        <v>141</v>
      </c>
      <c r="F615" s="3" t="s">
        <v>821</v>
      </c>
      <c r="G615" s="9">
        <v>371.57</v>
      </c>
      <c r="H615" s="10">
        <v>45666.257152777784</v>
      </c>
      <c r="I615" s="10">
        <v>45666.257152777784</v>
      </c>
      <c r="J615" s="10">
        <v>45666.258287037039</v>
      </c>
      <c r="K615" s="11">
        <v>1.1342592592592589E-3</v>
      </c>
      <c r="L615" s="13"/>
    </row>
    <row r="616" spans="1:12" x14ac:dyDescent="0.45">
      <c r="A616" s="3" t="s">
        <v>841</v>
      </c>
      <c r="B616" s="3" t="s">
        <v>1517</v>
      </c>
      <c r="C616" s="3" t="s">
        <v>1518</v>
      </c>
      <c r="D616" s="9">
        <v>128</v>
      </c>
      <c r="E616" s="3" t="s">
        <v>139</v>
      </c>
      <c r="F616" s="3" t="s">
        <v>817</v>
      </c>
      <c r="G616" s="9">
        <v>477.75</v>
      </c>
      <c r="H616" s="10">
        <v>45666.466423611113</v>
      </c>
      <c r="I616" s="10">
        <v>45666.466423611113</v>
      </c>
      <c r="J616" s="10">
        <v>45666.468043981477</v>
      </c>
      <c r="K616" s="11">
        <v>1.6203703703703701E-3</v>
      </c>
      <c r="L616" s="13"/>
    </row>
    <row r="617" spans="1:12" x14ac:dyDescent="0.45">
      <c r="A617" s="3" t="s">
        <v>841</v>
      </c>
      <c r="B617" s="3" t="s">
        <v>1519</v>
      </c>
      <c r="C617" s="3" t="s">
        <v>489</v>
      </c>
      <c r="D617" s="9">
        <v>48</v>
      </c>
      <c r="E617" s="3" t="s">
        <v>139</v>
      </c>
      <c r="F617" s="3" t="s">
        <v>813</v>
      </c>
      <c r="G617" s="9">
        <v>269.92</v>
      </c>
      <c r="H617" s="10">
        <v>45666.468043981477</v>
      </c>
      <c r="I617" s="10">
        <v>45666.468043981477</v>
      </c>
      <c r="J617" s="10">
        <v>45666.468912037039</v>
      </c>
      <c r="K617" s="11">
        <v>8.6805555555555551E-4</v>
      </c>
      <c r="L617" s="13"/>
    </row>
    <row r="618" spans="1:12" x14ac:dyDescent="0.45">
      <c r="A618" s="3" t="s">
        <v>841</v>
      </c>
      <c r="B618" s="3" t="s">
        <v>1520</v>
      </c>
      <c r="C618" s="3" t="s">
        <v>492</v>
      </c>
      <c r="D618" s="9">
        <v>48</v>
      </c>
      <c r="E618" s="3" t="s">
        <v>141</v>
      </c>
      <c r="F618" s="3" t="s">
        <v>813</v>
      </c>
      <c r="G618" s="9">
        <v>263.08999999999997</v>
      </c>
      <c r="H618" s="10">
        <v>45666.469780092593</v>
      </c>
      <c r="I618" s="10">
        <v>45666.469780092593</v>
      </c>
      <c r="J618" s="10">
        <v>45666.470613425918</v>
      </c>
      <c r="K618" s="11">
        <v>8.3333333333333339E-4</v>
      </c>
      <c r="L618" s="13"/>
    </row>
    <row r="619" spans="1:12" x14ac:dyDescent="0.45">
      <c r="A619" s="3" t="s">
        <v>841</v>
      </c>
      <c r="B619" s="3" t="s">
        <v>1521</v>
      </c>
      <c r="C619" s="3" t="s">
        <v>494</v>
      </c>
      <c r="D619" s="9">
        <v>32</v>
      </c>
      <c r="E619" s="3" t="s">
        <v>141</v>
      </c>
      <c r="F619" s="3" t="s">
        <v>816</v>
      </c>
      <c r="G619" s="9">
        <v>290.60000000000002</v>
      </c>
      <c r="H619" s="10">
        <v>45666.470613425918</v>
      </c>
      <c r="I619" s="10">
        <v>45666.470613425918</v>
      </c>
      <c r="J619" s="10">
        <v>45666.471504629633</v>
      </c>
      <c r="K619" s="11">
        <v>8.9120370370370373E-4</v>
      </c>
      <c r="L619" s="13"/>
    </row>
    <row r="620" spans="1:12" x14ac:dyDescent="0.45">
      <c r="A620" s="3" t="s">
        <v>841</v>
      </c>
      <c r="B620" s="3" t="s">
        <v>1522</v>
      </c>
      <c r="C620" s="3" t="s">
        <v>1523</v>
      </c>
      <c r="D620" s="9">
        <v>112</v>
      </c>
      <c r="E620" s="3" t="s">
        <v>141</v>
      </c>
      <c r="F620" s="3" t="s">
        <v>813</v>
      </c>
      <c r="G620" s="9">
        <v>263.08999999999997</v>
      </c>
      <c r="H620" s="10">
        <v>45666.471504629633</v>
      </c>
      <c r="I620" s="10">
        <v>45666.471504629633</v>
      </c>
      <c r="J620" s="10">
        <v>45666.472488425927</v>
      </c>
      <c r="K620" s="11">
        <v>9.837962962962962E-4</v>
      </c>
      <c r="L620" s="13"/>
    </row>
    <row r="621" spans="1:12" x14ac:dyDescent="0.45">
      <c r="A621" s="3" t="s">
        <v>841</v>
      </c>
      <c r="B621" s="3" t="s">
        <v>1524</v>
      </c>
      <c r="C621" s="3" t="s">
        <v>1525</v>
      </c>
      <c r="D621" s="9">
        <v>80</v>
      </c>
      <c r="E621" s="3" t="s">
        <v>139</v>
      </c>
      <c r="F621" s="3" t="s">
        <v>813</v>
      </c>
      <c r="G621" s="9">
        <v>269.92</v>
      </c>
      <c r="H621" s="10">
        <v>45666.551319444443</v>
      </c>
      <c r="I621" s="10">
        <v>45666.551319444443</v>
      </c>
      <c r="J621" s="10">
        <v>45666.552245370367</v>
      </c>
      <c r="K621" s="11">
        <v>9.2592592592592596E-4</v>
      </c>
      <c r="L621" s="13"/>
    </row>
    <row r="622" spans="1:12" x14ac:dyDescent="0.45">
      <c r="A622" s="3" t="s">
        <v>841</v>
      </c>
      <c r="B622" s="3" t="s">
        <v>1526</v>
      </c>
      <c r="C622" s="3" t="s">
        <v>1527</v>
      </c>
      <c r="D622" s="9">
        <v>208</v>
      </c>
      <c r="E622" s="3" t="s">
        <v>139</v>
      </c>
      <c r="F622" s="3" t="s">
        <v>817</v>
      </c>
      <c r="G622" s="9">
        <v>477.75</v>
      </c>
      <c r="H622" s="10">
        <v>45666.552245370367</v>
      </c>
      <c r="I622" s="10">
        <v>45666.552245370367</v>
      </c>
      <c r="J622" s="10">
        <v>45666.554062499999</v>
      </c>
      <c r="K622" s="11">
        <v>1.8171296296296299E-3</v>
      </c>
      <c r="L622" s="13"/>
    </row>
    <row r="623" spans="1:12" x14ac:dyDescent="0.45">
      <c r="A623" s="3" t="s">
        <v>841</v>
      </c>
      <c r="B623" s="3" t="s">
        <v>1528</v>
      </c>
      <c r="C623" s="3" t="s">
        <v>513</v>
      </c>
      <c r="D623" s="9">
        <v>32</v>
      </c>
      <c r="E623" s="3" t="s">
        <v>141</v>
      </c>
      <c r="F623" s="3" t="s">
        <v>816</v>
      </c>
      <c r="G623" s="9">
        <v>290.60000000000002</v>
      </c>
      <c r="H623" s="10">
        <v>45666.556631944448</v>
      </c>
      <c r="I623" s="10">
        <v>45666.556631944448</v>
      </c>
      <c r="J623" s="10">
        <v>45666.557511574072</v>
      </c>
      <c r="K623" s="11">
        <v>8.7962962962962962E-4</v>
      </c>
      <c r="L623" s="13"/>
    </row>
    <row r="624" spans="1:12" x14ac:dyDescent="0.45">
      <c r="A624" s="3" t="s">
        <v>841</v>
      </c>
      <c r="B624" s="3" t="s">
        <v>1529</v>
      </c>
      <c r="C624" s="3" t="s">
        <v>1530</v>
      </c>
      <c r="D624" s="9">
        <v>96</v>
      </c>
      <c r="E624" s="3" t="s">
        <v>141</v>
      </c>
      <c r="F624" s="3" t="s">
        <v>813</v>
      </c>
      <c r="G624" s="9">
        <v>263.08999999999997</v>
      </c>
      <c r="H624" s="10">
        <v>45666.557511574072</v>
      </c>
      <c r="I624" s="10">
        <v>45666.557511574072</v>
      </c>
      <c r="J624" s="10">
        <v>45666.558472222219</v>
      </c>
      <c r="K624" s="11">
        <v>9.6064814814814819E-4</v>
      </c>
      <c r="L624" s="13"/>
    </row>
    <row r="625" spans="1:12" x14ac:dyDescent="0.45">
      <c r="A625" s="3" t="s">
        <v>841</v>
      </c>
      <c r="B625" s="3" t="s">
        <v>1531</v>
      </c>
      <c r="C625" s="3" t="s">
        <v>519</v>
      </c>
      <c r="D625" s="9">
        <v>48</v>
      </c>
      <c r="E625" s="3" t="s">
        <v>141</v>
      </c>
      <c r="F625" s="3" t="s">
        <v>818</v>
      </c>
      <c r="G625" s="9">
        <v>453.13</v>
      </c>
      <c r="H625" s="10">
        <v>45666.558472222219</v>
      </c>
      <c r="I625" s="10">
        <v>45666.558472222219</v>
      </c>
      <c r="J625" s="10">
        <v>45666.559837962966</v>
      </c>
      <c r="K625" s="11">
        <v>1.3657407407407409E-3</v>
      </c>
      <c r="L625" s="13"/>
    </row>
    <row r="626" spans="1:12" x14ac:dyDescent="0.45">
      <c r="A626" s="3" t="s">
        <v>841</v>
      </c>
      <c r="B626" s="3" t="s">
        <v>1532</v>
      </c>
      <c r="C626" s="3" t="s">
        <v>521</v>
      </c>
      <c r="D626" s="9">
        <v>32</v>
      </c>
      <c r="E626" s="3" t="s">
        <v>139</v>
      </c>
      <c r="F626" s="3" t="s">
        <v>815</v>
      </c>
      <c r="G626" s="9">
        <v>405.43</v>
      </c>
      <c r="H626" s="10">
        <v>45666.565636574072</v>
      </c>
      <c r="I626" s="10">
        <v>45666.565636574072</v>
      </c>
      <c r="J626" s="10">
        <v>45666.566840277781</v>
      </c>
      <c r="K626" s="11">
        <v>1.203703703703704E-3</v>
      </c>
      <c r="L626" s="13"/>
    </row>
    <row r="627" spans="1:12" x14ac:dyDescent="0.45">
      <c r="A627" s="3" t="s">
        <v>841</v>
      </c>
      <c r="B627" s="3" t="s">
        <v>1533</v>
      </c>
      <c r="C627" s="3" t="s">
        <v>524</v>
      </c>
      <c r="D627" s="9">
        <v>48</v>
      </c>
      <c r="E627" s="3" t="s">
        <v>139</v>
      </c>
      <c r="F627" s="3" t="s">
        <v>816</v>
      </c>
      <c r="G627" s="9">
        <v>297.43</v>
      </c>
      <c r="H627" s="10">
        <v>45666.566840277781</v>
      </c>
      <c r="I627" s="10">
        <v>45666.566840277781</v>
      </c>
      <c r="J627" s="10">
        <v>45666.567777777767</v>
      </c>
      <c r="K627" s="11">
        <v>9.3749999999999997E-4</v>
      </c>
      <c r="L627" s="13"/>
    </row>
    <row r="628" spans="1:12" x14ac:dyDescent="0.45">
      <c r="A628" s="3" t="s">
        <v>841</v>
      </c>
      <c r="B628" s="3" t="s">
        <v>1534</v>
      </c>
      <c r="C628" s="3" t="s">
        <v>526</v>
      </c>
      <c r="D628" s="9">
        <v>80</v>
      </c>
      <c r="E628" s="3" t="s">
        <v>139</v>
      </c>
      <c r="F628" s="3" t="s">
        <v>819</v>
      </c>
      <c r="G628" s="9">
        <v>412.05</v>
      </c>
      <c r="H628" s="10">
        <v>45666.577291666668</v>
      </c>
      <c r="I628" s="10">
        <v>45666.577291666668</v>
      </c>
      <c r="J628" s="10">
        <v>45666.578611111108</v>
      </c>
      <c r="K628" s="11">
        <v>1.3194444444444441E-3</v>
      </c>
      <c r="L628" s="13"/>
    </row>
    <row r="629" spans="1:12" x14ac:dyDescent="0.45">
      <c r="A629" s="3" t="s">
        <v>841</v>
      </c>
      <c r="B629" s="3" t="s">
        <v>1535</v>
      </c>
      <c r="C629" s="3" t="s">
        <v>1536</v>
      </c>
      <c r="D629" s="9">
        <v>112</v>
      </c>
      <c r="E629" s="3" t="s">
        <v>139</v>
      </c>
      <c r="F629" s="3" t="s">
        <v>821</v>
      </c>
      <c r="G629" s="9">
        <v>378.4</v>
      </c>
      <c r="H629" s="10">
        <v>45666.578611111108</v>
      </c>
      <c r="I629" s="10">
        <v>45666.578611111108</v>
      </c>
      <c r="J629" s="10">
        <v>45666.579930555563</v>
      </c>
      <c r="K629" s="11">
        <v>1.3194444444444441E-3</v>
      </c>
      <c r="L629" s="13"/>
    </row>
    <row r="630" spans="1:12" x14ac:dyDescent="0.45">
      <c r="A630" s="3" t="s">
        <v>841</v>
      </c>
      <c r="B630" s="3" t="s">
        <v>1537</v>
      </c>
      <c r="C630" s="3" t="s">
        <v>534</v>
      </c>
      <c r="D630" s="9">
        <v>80</v>
      </c>
      <c r="E630" s="3" t="s">
        <v>141</v>
      </c>
      <c r="F630" s="3" t="s">
        <v>822</v>
      </c>
      <c r="G630" s="9">
        <v>344.04</v>
      </c>
      <c r="H630" s="10">
        <v>45666.587326388893</v>
      </c>
      <c r="I630" s="10">
        <v>45666.587326388893</v>
      </c>
      <c r="J630" s="10">
        <v>45666.588472222233</v>
      </c>
      <c r="K630" s="11">
        <v>1.1458333333333329E-3</v>
      </c>
      <c r="L630" s="13"/>
    </row>
    <row r="631" spans="1:12" x14ac:dyDescent="0.45">
      <c r="A631" s="3" t="s">
        <v>841</v>
      </c>
      <c r="B631" s="3" t="s">
        <v>1538</v>
      </c>
      <c r="C631" s="3" t="s">
        <v>537</v>
      </c>
      <c r="D631" s="9">
        <v>64</v>
      </c>
      <c r="E631" s="3" t="s">
        <v>141</v>
      </c>
      <c r="F631" s="3" t="s">
        <v>819</v>
      </c>
      <c r="G631" s="9">
        <v>405.22</v>
      </c>
      <c r="H631" s="10">
        <v>45666.588472222233</v>
      </c>
      <c r="I631" s="10">
        <v>45666.588472222233</v>
      </c>
      <c r="J631" s="10">
        <v>45666.589745370373</v>
      </c>
      <c r="K631" s="11">
        <v>1.273148148148148E-3</v>
      </c>
      <c r="L631" s="13"/>
    </row>
    <row r="632" spans="1:12" x14ac:dyDescent="0.45">
      <c r="A632" s="3" t="s">
        <v>841</v>
      </c>
      <c r="B632" s="3" t="s">
        <v>1539</v>
      </c>
      <c r="C632" s="3" t="s">
        <v>539</v>
      </c>
      <c r="D632" s="9">
        <v>48</v>
      </c>
      <c r="E632" s="3" t="s">
        <v>141</v>
      </c>
      <c r="F632" s="3" t="s">
        <v>822</v>
      </c>
      <c r="G632" s="9">
        <v>344.04</v>
      </c>
      <c r="H632" s="10">
        <v>45666.589745370373</v>
      </c>
      <c r="I632" s="10">
        <v>45666.589745370373</v>
      </c>
      <c r="J632" s="10">
        <v>45666.590810185182</v>
      </c>
      <c r="K632" s="11">
        <v>1.0648148148148151E-3</v>
      </c>
      <c r="L632" s="13"/>
    </row>
    <row r="633" spans="1:12" x14ac:dyDescent="0.45">
      <c r="A633" s="3" t="s">
        <v>841</v>
      </c>
      <c r="B633" s="3" t="s">
        <v>1540</v>
      </c>
      <c r="C633" s="3" t="s">
        <v>1541</v>
      </c>
      <c r="D633" s="9">
        <v>144</v>
      </c>
      <c r="E633" s="3" t="s">
        <v>139</v>
      </c>
      <c r="F633" s="3" t="s">
        <v>813</v>
      </c>
      <c r="G633" s="9">
        <v>269.92</v>
      </c>
      <c r="H633" s="10">
        <v>45666.799375000002</v>
      </c>
      <c r="I633" s="10">
        <v>45666.799375000002</v>
      </c>
      <c r="J633" s="10">
        <v>45666.800451388888</v>
      </c>
      <c r="K633" s="11">
        <v>1.0763888888888891E-3</v>
      </c>
      <c r="L633" s="13"/>
    </row>
    <row r="634" spans="1:12" x14ac:dyDescent="0.45">
      <c r="A634" s="3" t="s">
        <v>841</v>
      </c>
      <c r="B634" s="3" t="s">
        <v>1542</v>
      </c>
      <c r="C634" s="3" t="s">
        <v>1543</v>
      </c>
      <c r="D634" s="9">
        <v>96</v>
      </c>
      <c r="E634" s="3" t="s">
        <v>141</v>
      </c>
      <c r="F634" s="3" t="s">
        <v>816</v>
      </c>
      <c r="G634" s="9">
        <v>290.60000000000002</v>
      </c>
      <c r="H634" s="10">
        <v>45666.808125000003</v>
      </c>
      <c r="I634" s="10">
        <v>45666.808125000003</v>
      </c>
      <c r="J634" s="10">
        <v>45666.809155092589</v>
      </c>
      <c r="K634" s="11">
        <v>1.0300925925925931E-3</v>
      </c>
      <c r="L634" s="13"/>
    </row>
    <row r="635" spans="1:12" x14ac:dyDescent="0.45">
      <c r="A635" s="3" t="s">
        <v>841</v>
      </c>
      <c r="B635" s="3" t="s">
        <v>1544</v>
      </c>
      <c r="C635" s="3" t="s">
        <v>1545</v>
      </c>
      <c r="D635" s="9">
        <v>96</v>
      </c>
      <c r="E635" s="3" t="s">
        <v>141</v>
      </c>
      <c r="F635" s="3" t="s">
        <v>817</v>
      </c>
      <c r="G635" s="9">
        <v>470.92</v>
      </c>
      <c r="H635" s="10">
        <v>45666.809155092589</v>
      </c>
      <c r="I635" s="10">
        <v>45666.809155092589</v>
      </c>
      <c r="J635" s="10">
        <v>45666.810682870368</v>
      </c>
      <c r="K635" s="11">
        <v>1.5277777777777781E-3</v>
      </c>
      <c r="L635" s="13"/>
    </row>
    <row r="636" spans="1:12" x14ac:dyDescent="0.45">
      <c r="A636" s="3" t="s">
        <v>841</v>
      </c>
      <c r="B636" s="3" t="s">
        <v>1546</v>
      </c>
      <c r="C636" s="3" t="s">
        <v>556</v>
      </c>
      <c r="D636" s="9">
        <v>80</v>
      </c>
      <c r="E636" s="3" t="s">
        <v>141</v>
      </c>
      <c r="F636" s="3" t="s">
        <v>816</v>
      </c>
      <c r="G636" s="9">
        <v>290.60000000000002</v>
      </c>
      <c r="H636" s="10">
        <v>45666.810682870368</v>
      </c>
      <c r="I636" s="10">
        <v>45666.810682870368</v>
      </c>
      <c r="J636" s="10">
        <v>45666.811678240738</v>
      </c>
      <c r="K636" s="11">
        <v>9.9537037037037042E-4</v>
      </c>
      <c r="L636" s="13"/>
    </row>
    <row r="637" spans="1:12" x14ac:dyDescent="0.45">
      <c r="A637" s="3" t="s">
        <v>841</v>
      </c>
      <c r="B637" s="3" t="s">
        <v>1547</v>
      </c>
      <c r="C637" s="3" t="s">
        <v>1548</v>
      </c>
      <c r="D637" s="9">
        <v>160</v>
      </c>
      <c r="E637" s="3" t="s">
        <v>139</v>
      </c>
      <c r="F637" s="3" t="s">
        <v>815</v>
      </c>
      <c r="G637" s="9">
        <v>405.43</v>
      </c>
      <c r="H637" s="10">
        <v>45666.945335648154</v>
      </c>
      <c r="I637" s="10">
        <v>45666.945335648154</v>
      </c>
      <c r="J637" s="10">
        <v>45666.946840277778</v>
      </c>
      <c r="K637" s="11">
        <v>1.5046296296296301E-3</v>
      </c>
      <c r="L637" s="13"/>
    </row>
    <row r="638" spans="1:12" x14ac:dyDescent="0.45">
      <c r="A638" s="3" t="s">
        <v>841</v>
      </c>
      <c r="B638" s="3" t="s">
        <v>1549</v>
      </c>
      <c r="C638" s="3" t="s">
        <v>566</v>
      </c>
      <c r="D638" s="9">
        <v>32</v>
      </c>
      <c r="E638" s="3" t="s">
        <v>139</v>
      </c>
      <c r="F638" s="3" t="s">
        <v>813</v>
      </c>
      <c r="G638" s="9">
        <v>269.92</v>
      </c>
      <c r="H638" s="10">
        <v>45667.303055555552</v>
      </c>
      <c r="I638" s="10">
        <v>45667.303055555552</v>
      </c>
      <c r="J638" s="10">
        <v>45667.303877314807</v>
      </c>
      <c r="K638" s="11">
        <v>8.2175925925925927E-4</v>
      </c>
      <c r="L638" s="13"/>
    </row>
    <row r="639" spans="1:12" x14ac:dyDescent="0.45">
      <c r="A639" s="3" t="s">
        <v>841</v>
      </c>
      <c r="B639" s="3" t="s">
        <v>1550</v>
      </c>
      <c r="C639" s="3" t="s">
        <v>569</v>
      </c>
      <c r="D639" s="9">
        <v>48</v>
      </c>
      <c r="E639" s="3" t="s">
        <v>139</v>
      </c>
      <c r="F639" s="3" t="s">
        <v>816</v>
      </c>
      <c r="G639" s="9">
        <v>297.43</v>
      </c>
      <c r="H639" s="10">
        <v>45667.303877314807</v>
      </c>
      <c r="I639" s="10">
        <v>45667.303877314807</v>
      </c>
      <c r="J639" s="10">
        <v>45667.304814814823</v>
      </c>
      <c r="K639" s="11">
        <v>9.3749999999999997E-4</v>
      </c>
      <c r="L639" s="13"/>
    </row>
    <row r="640" spans="1:12" x14ac:dyDescent="0.45">
      <c r="A640" s="3" t="s">
        <v>841</v>
      </c>
      <c r="B640" s="3" t="s">
        <v>1551</v>
      </c>
      <c r="C640" s="3" t="s">
        <v>572</v>
      </c>
      <c r="D640" s="9">
        <v>32</v>
      </c>
      <c r="E640" s="3" t="s">
        <v>139</v>
      </c>
      <c r="F640" s="3" t="s">
        <v>820</v>
      </c>
      <c r="G640" s="9">
        <v>405.03</v>
      </c>
      <c r="H640" s="10">
        <v>45667.304814814823</v>
      </c>
      <c r="I640" s="10">
        <v>45667.304814814823</v>
      </c>
      <c r="J640" s="10">
        <v>45667.306006944447</v>
      </c>
      <c r="K640" s="11">
        <v>1.19212962962963E-3</v>
      </c>
      <c r="L640" s="13"/>
    </row>
    <row r="641" spans="1:12" x14ac:dyDescent="0.45">
      <c r="A641" s="3" t="s">
        <v>841</v>
      </c>
      <c r="B641" s="3" t="s">
        <v>1552</v>
      </c>
      <c r="C641" s="3" t="s">
        <v>574</v>
      </c>
      <c r="D641" s="9">
        <v>48</v>
      </c>
      <c r="E641" s="3" t="s">
        <v>139</v>
      </c>
      <c r="F641" s="3" t="s">
        <v>813</v>
      </c>
      <c r="G641" s="9">
        <v>269.92</v>
      </c>
      <c r="H641" s="10">
        <v>45667.306006944447</v>
      </c>
      <c r="I641" s="10">
        <v>45667.306006944447</v>
      </c>
      <c r="J641" s="10">
        <v>45667.306875000002</v>
      </c>
      <c r="K641" s="11">
        <v>8.6805555555555551E-4</v>
      </c>
      <c r="L641" s="13"/>
    </row>
    <row r="642" spans="1:12" x14ac:dyDescent="0.45">
      <c r="A642" s="3" t="s">
        <v>841</v>
      </c>
      <c r="B642" s="3" t="s">
        <v>1553</v>
      </c>
      <c r="C642" s="3" t="s">
        <v>576</v>
      </c>
      <c r="D642" s="9">
        <v>64</v>
      </c>
      <c r="E642" s="3" t="s">
        <v>139</v>
      </c>
      <c r="F642" s="3" t="s">
        <v>815</v>
      </c>
      <c r="G642" s="9">
        <v>405.43</v>
      </c>
      <c r="H642" s="10">
        <v>45667.325567129628</v>
      </c>
      <c r="I642" s="10">
        <v>45667.325567129628</v>
      </c>
      <c r="J642" s="10">
        <v>45667.326840277783</v>
      </c>
      <c r="K642" s="11">
        <v>1.273148148148148E-3</v>
      </c>
      <c r="L642" s="13"/>
    </row>
    <row r="643" spans="1:12" x14ac:dyDescent="0.45">
      <c r="A643" s="3" t="s">
        <v>841</v>
      </c>
      <c r="B643" s="3" t="s">
        <v>1554</v>
      </c>
      <c r="C643" s="3" t="s">
        <v>579</v>
      </c>
      <c r="D643" s="9">
        <v>32</v>
      </c>
      <c r="E643" s="3" t="s">
        <v>139</v>
      </c>
      <c r="F643" s="3" t="s">
        <v>819</v>
      </c>
      <c r="G643" s="9">
        <v>412.05</v>
      </c>
      <c r="H643" s="10">
        <v>45667.326840277783</v>
      </c>
      <c r="I643" s="10">
        <v>45667.326840277783</v>
      </c>
      <c r="J643" s="10">
        <v>45667.328067129631</v>
      </c>
      <c r="K643" s="11">
        <v>1.226851851851852E-3</v>
      </c>
      <c r="L643" s="13"/>
    </row>
    <row r="644" spans="1:12" x14ac:dyDescent="0.45">
      <c r="A644" s="3" t="s">
        <v>841</v>
      </c>
      <c r="B644" s="3" t="s">
        <v>1555</v>
      </c>
      <c r="C644" s="3" t="s">
        <v>582</v>
      </c>
      <c r="D644" s="9">
        <v>48</v>
      </c>
      <c r="E644" s="3" t="s">
        <v>139</v>
      </c>
      <c r="F644" s="3" t="s">
        <v>814</v>
      </c>
      <c r="G644" s="9">
        <v>450.42</v>
      </c>
      <c r="H644" s="10">
        <v>45667.328067129631</v>
      </c>
      <c r="I644" s="10">
        <v>45667.328067129631</v>
      </c>
      <c r="J644" s="10">
        <v>45667.329421296286</v>
      </c>
      <c r="K644" s="11">
        <v>1.3541666666666669E-3</v>
      </c>
      <c r="L644" s="13"/>
    </row>
    <row r="645" spans="1:12" x14ac:dyDescent="0.45">
      <c r="A645" s="3" t="s">
        <v>841</v>
      </c>
      <c r="B645" s="3" t="s">
        <v>1556</v>
      </c>
      <c r="C645" s="3" t="s">
        <v>584</v>
      </c>
      <c r="D645" s="9">
        <v>32</v>
      </c>
      <c r="E645" s="3" t="s">
        <v>139</v>
      </c>
      <c r="F645" s="3" t="s">
        <v>816</v>
      </c>
      <c r="G645" s="9">
        <v>297.43</v>
      </c>
      <c r="H645" s="10">
        <v>45667.35665509259</v>
      </c>
      <c r="I645" s="10">
        <v>45667.35665509259</v>
      </c>
      <c r="J645" s="10">
        <v>45667.357557870368</v>
      </c>
      <c r="K645" s="11">
        <v>9.0277777777777774E-4</v>
      </c>
      <c r="L645" s="13"/>
    </row>
    <row r="646" spans="1:12" x14ac:dyDescent="0.45">
      <c r="A646" s="3" t="s">
        <v>841</v>
      </c>
      <c r="B646" s="3" t="s">
        <v>1557</v>
      </c>
      <c r="C646" s="3" t="s">
        <v>586</v>
      </c>
      <c r="D646" s="9">
        <v>64</v>
      </c>
      <c r="E646" s="3" t="s">
        <v>139</v>
      </c>
      <c r="F646" s="3" t="s">
        <v>819</v>
      </c>
      <c r="G646" s="9">
        <v>412.05</v>
      </c>
      <c r="H646" s="10">
        <v>45667.357557870368</v>
      </c>
      <c r="I646" s="10">
        <v>45667.357557870368</v>
      </c>
      <c r="J646" s="10">
        <v>45667.358854166669</v>
      </c>
      <c r="K646" s="11">
        <v>1.296296296296296E-3</v>
      </c>
      <c r="L646" s="13"/>
    </row>
    <row r="647" spans="1:12" x14ac:dyDescent="0.45">
      <c r="A647" s="3" t="s">
        <v>841</v>
      </c>
      <c r="B647" s="3" t="s">
        <v>1558</v>
      </c>
      <c r="C647" s="3" t="s">
        <v>588</v>
      </c>
      <c r="D647" s="9">
        <v>64</v>
      </c>
      <c r="E647" s="3" t="s">
        <v>139</v>
      </c>
      <c r="F647" s="3" t="s">
        <v>813</v>
      </c>
      <c r="G647" s="9">
        <v>269.92</v>
      </c>
      <c r="H647" s="10">
        <v>45667.387673611112</v>
      </c>
      <c r="I647" s="10">
        <v>45667.387673611112</v>
      </c>
      <c r="J647" s="10">
        <v>45667.38857638889</v>
      </c>
      <c r="K647" s="11">
        <v>9.0277777777777774E-4</v>
      </c>
      <c r="L647" s="13"/>
    </row>
    <row r="648" spans="1:12" x14ac:dyDescent="0.45">
      <c r="A648" s="3" t="s">
        <v>841</v>
      </c>
      <c r="B648" s="3" t="s">
        <v>1559</v>
      </c>
      <c r="C648" s="3" t="s">
        <v>590</v>
      </c>
      <c r="D648" s="9">
        <v>64</v>
      </c>
      <c r="E648" s="3" t="s">
        <v>139</v>
      </c>
      <c r="F648" s="3" t="s">
        <v>814</v>
      </c>
      <c r="G648" s="9">
        <v>450.42</v>
      </c>
      <c r="H648" s="10">
        <v>45667.38857638889</v>
      </c>
      <c r="I648" s="10">
        <v>45667.38857638889</v>
      </c>
      <c r="J648" s="10">
        <v>45667.389976851853</v>
      </c>
      <c r="K648" s="11">
        <v>1.4004629629629629E-3</v>
      </c>
      <c r="L648" s="13"/>
    </row>
    <row r="649" spans="1:12" x14ac:dyDescent="0.45">
      <c r="A649" s="3" t="s">
        <v>841</v>
      </c>
      <c r="B649" s="3" t="s">
        <v>1560</v>
      </c>
      <c r="C649" s="3" t="s">
        <v>593</v>
      </c>
      <c r="D649" s="9">
        <v>48</v>
      </c>
      <c r="E649" s="3" t="s">
        <v>139</v>
      </c>
      <c r="F649" s="3" t="s">
        <v>818</v>
      </c>
      <c r="G649" s="9">
        <v>459.96</v>
      </c>
      <c r="H649" s="10">
        <v>45667.389976851853</v>
      </c>
      <c r="I649" s="10">
        <v>45667.389976851853</v>
      </c>
      <c r="J649" s="10">
        <v>45667.391365740739</v>
      </c>
      <c r="K649" s="11">
        <v>1.3888888888888889E-3</v>
      </c>
      <c r="L649" s="13"/>
    </row>
    <row r="650" spans="1:12" x14ac:dyDescent="0.45">
      <c r="A650" s="3" t="s">
        <v>841</v>
      </c>
      <c r="B650" s="3" t="s">
        <v>1561</v>
      </c>
      <c r="C650" s="3" t="s">
        <v>1562</v>
      </c>
      <c r="D650" s="9">
        <v>128</v>
      </c>
      <c r="E650" s="3" t="s">
        <v>141</v>
      </c>
      <c r="F650" s="3" t="s">
        <v>813</v>
      </c>
      <c r="G650" s="9">
        <v>263.08999999999997</v>
      </c>
      <c r="H650" s="10">
        <v>45667.553032407413</v>
      </c>
      <c r="I650" s="10">
        <v>45667.553032407413</v>
      </c>
      <c r="J650" s="10">
        <v>45667.554062499999</v>
      </c>
      <c r="K650" s="11">
        <v>1.0300925925925931E-3</v>
      </c>
      <c r="L650" s="13"/>
    </row>
    <row r="651" spans="1:12" x14ac:dyDescent="0.45">
      <c r="A651" s="3" t="s">
        <v>841</v>
      </c>
      <c r="B651" s="3" t="s">
        <v>1563</v>
      </c>
      <c r="C651" s="3" t="s">
        <v>603</v>
      </c>
      <c r="D651" s="9">
        <v>80</v>
      </c>
      <c r="E651" s="3" t="s">
        <v>141</v>
      </c>
      <c r="F651" s="3" t="s">
        <v>817</v>
      </c>
      <c r="G651" s="9">
        <v>470.92</v>
      </c>
      <c r="H651" s="10">
        <v>45667.554062499999</v>
      </c>
      <c r="I651" s="10">
        <v>45667.554062499999</v>
      </c>
      <c r="J651" s="10">
        <v>45667.555555555547</v>
      </c>
      <c r="K651" s="11">
        <v>1.4930555555555561E-3</v>
      </c>
      <c r="L651" s="13"/>
    </row>
    <row r="652" spans="1:12" x14ac:dyDescent="0.45">
      <c r="A652" s="3" t="s">
        <v>841</v>
      </c>
      <c r="B652" s="3" t="s">
        <v>1564</v>
      </c>
      <c r="C652" s="3" t="s">
        <v>605</v>
      </c>
      <c r="D652" s="9">
        <v>32</v>
      </c>
      <c r="E652" s="3" t="s">
        <v>141</v>
      </c>
      <c r="F652" s="3" t="s">
        <v>821</v>
      </c>
      <c r="G652" s="9">
        <v>371.57</v>
      </c>
      <c r="H652" s="10">
        <v>45667.555555555547</v>
      </c>
      <c r="I652" s="10">
        <v>45667.555555555547</v>
      </c>
      <c r="J652" s="10">
        <v>45667.556655092587</v>
      </c>
      <c r="K652" s="11">
        <v>1.0995370370370371E-3</v>
      </c>
      <c r="L652" s="13"/>
    </row>
    <row r="653" spans="1:12" x14ac:dyDescent="0.45">
      <c r="A653" s="3" t="s">
        <v>841</v>
      </c>
      <c r="B653" s="3" t="s">
        <v>1565</v>
      </c>
      <c r="C653" s="3" t="s">
        <v>608</v>
      </c>
      <c r="D653" s="9">
        <v>32</v>
      </c>
      <c r="E653" s="3" t="s">
        <v>139</v>
      </c>
      <c r="F653" s="3" t="s">
        <v>818</v>
      </c>
      <c r="G653" s="9">
        <v>459.96</v>
      </c>
      <c r="H653" s="10">
        <v>45667.55741898148</v>
      </c>
      <c r="I653" s="10">
        <v>45667.55741898148</v>
      </c>
      <c r="J653" s="10">
        <v>45667.55877314815</v>
      </c>
      <c r="K653" s="11">
        <v>1.3541666666666669E-3</v>
      </c>
      <c r="L653" s="13"/>
    </row>
    <row r="654" spans="1:12" x14ac:dyDescent="0.45">
      <c r="A654" s="3" t="s">
        <v>841</v>
      </c>
      <c r="B654" s="3" t="s">
        <v>1566</v>
      </c>
      <c r="C654" s="3" t="s">
        <v>610</v>
      </c>
      <c r="D654" s="9">
        <v>32</v>
      </c>
      <c r="E654" s="3" t="s">
        <v>139</v>
      </c>
      <c r="F654" s="3" t="s">
        <v>819</v>
      </c>
      <c r="G654" s="9">
        <v>412.05</v>
      </c>
      <c r="H654" s="10">
        <v>45667.55877314815</v>
      </c>
      <c r="I654" s="10">
        <v>45667.55877314815</v>
      </c>
      <c r="J654" s="10">
        <v>45667.559988425928</v>
      </c>
      <c r="K654" s="11">
        <v>1.215277777777778E-3</v>
      </c>
      <c r="L654" s="13"/>
    </row>
    <row r="655" spans="1:12" x14ac:dyDescent="0.45">
      <c r="A655" s="3" t="s">
        <v>841</v>
      </c>
      <c r="B655" s="3" t="s">
        <v>1567</v>
      </c>
      <c r="C655" s="3" t="s">
        <v>612</v>
      </c>
      <c r="D655" s="9">
        <v>48</v>
      </c>
      <c r="E655" s="3" t="s">
        <v>139</v>
      </c>
      <c r="F655" s="3" t="s">
        <v>818</v>
      </c>
      <c r="G655" s="9">
        <v>459.96</v>
      </c>
      <c r="H655" s="10">
        <v>45667.559988425928</v>
      </c>
      <c r="I655" s="10">
        <v>45667.559988425928</v>
      </c>
      <c r="J655" s="10">
        <v>45667.561377314807</v>
      </c>
      <c r="K655" s="11">
        <v>1.3888888888888889E-3</v>
      </c>
      <c r="L655" s="13"/>
    </row>
    <row r="656" spans="1:12" x14ac:dyDescent="0.45">
      <c r="A656" s="3" t="s">
        <v>841</v>
      </c>
      <c r="B656" s="3" t="s">
        <v>1568</v>
      </c>
      <c r="C656" s="3" t="s">
        <v>1569</v>
      </c>
      <c r="D656" s="9">
        <v>112</v>
      </c>
      <c r="E656" s="3" t="s">
        <v>139</v>
      </c>
      <c r="F656" s="3" t="s">
        <v>815</v>
      </c>
      <c r="G656" s="9">
        <v>405.43</v>
      </c>
      <c r="H656" s="10">
        <v>45667.561377314807</v>
      </c>
      <c r="I656" s="10">
        <v>45667.561377314807</v>
      </c>
      <c r="J656" s="10">
        <v>45667.5627662037</v>
      </c>
      <c r="K656" s="11">
        <v>1.3888888888888889E-3</v>
      </c>
      <c r="L656" s="13"/>
    </row>
    <row r="657" spans="1:12" x14ac:dyDescent="0.45">
      <c r="A657" s="3" t="s">
        <v>841</v>
      </c>
      <c r="B657" s="3" t="s">
        <v>1570</v>
      </c>
      <c r="C657" s="3" t="s">
        <v>618</v>
      </c>
      <c r="D657" s="9">
        <v>32</v>
      </c>
      <c r="E657" s="3" t="s">
        <v>139</v>
      </c>
      <c r="F657" s="3" t="s">
        <v>813</v>
      </c>
      <c r="G657" s="9">
        <v>269.92</v>
      </c>
      <c r="H657" s="10">
        <v>45667.636493055557</v>
      </c>
      <c r="I657" s="10">
        <v>45667.636493055557</v>
      </c>
      <c r="J657" s="10">
        <v>45667.637314814812</v>
      </c>
      <c r="K657" s="11">
        <v>8.2175925925925927E-4</v>
      </c>
      <c r="L657" s="13"/>
    </row>
    <row r="658" spans="1:12" x14ac:dyDescent="0.45">
      <c r="A658" s="3" t="s">
        <v>841</v>
      </c>
      <c r="B658" s="3" t="s">
        <v>1571</v>
      </c>
      <c r="C658" s="3" t="s">
        <v>621</v>
      </c>
      <c r="D658" s="9">
        <v>48</v>
      </c>
      <c r="E658" s="3" t="s">
        <v>139</v>
      </c>
      <c r="F658" s="3" t="s">
        <v>816</v>
      </c>
      <c r="G658" s="9">
        <v>297.43</v>
      </c>
      <c r="H658" s="10">
        <v>45667.637314814812</v>
      </c>
      <c r="I658" s="10">
        <v>45667.637314814812</v>
      </c>
      <c r="J658" s="10">
        <v>45667.638252314813</v>
      </c>
      <c r="K658" s="11">
        <v>9.3749999999999997E-4</v>
      </c>
      <c r="L658" s="13"/>
    </row>
    <row r="659" spans="1:12" x14ac:dyDescent="0.45">
      <c r="A659" s="3" t="s">
        <v>841</v>
      </c>
      <c r="B659" s="3" t="s">
        <v>1572</v>
      </c>
      <c r="C659" s="3" t="s">
        <v>1573</v>
      </c>
      <c r="D659" s="9">
        <v>128</v>
      </c>
      <c r="E659" s="3" t="s">
        <v>139</v>
      </c>
      <c r="F659" s="3" t="s">
        <v>817</v>
      </c>
      <c r="G659" s="9">
        <v>477.75</v>
      </c>
      <c r="H659" s="10">
        <v>45667.638252314813</v>
      </c>
      <c r="I659" s="10">
        <v>45667.638252314813</v>
      </c>
      <c r="J659" s="10">
        <v>45667.639884259261</v>
      </c>
      <c r="K659" s="11">
        <v>1.631944444444445E-3</v>
      </c>
      <c r="L659" s="13"/>
    </row>
    <row r="660" spans="1:12" x14ac:dyDescent="0.45">
      <c r="A660" s="3" t="s">
        <v>841</v>
      </c>
      <c r="B660" s="3" t="s">
        <v>1574</v>
      </c>
      <c r="C660" s="3" t="s">
        <v>1575</v>
      </c>
      <c r="D660" s="9">
        <v>160</v>
      </c>
      <c r="E660" s="3" t="s">
        <v>139</v>
      </c>
      <c r="F660" s="3" t="s">
        <v>815</v>
      </c>
      <c r="G660" s="9">
        <v>405.43</v>
      </c>
      <c r="H660" s="10">
        <v>45667.661226851851</v>
      </c>
      <c r="I660" s="10">
        <v>45667.661226851851</v>
      </c>
      <c r="J660" s="10">
        <v>45667.662719907406</v>
      </c>
      <c r="K660" s="11">
        <v>1.4930555555555561E-3</v>
      </c>
      <c r="L660" s="13"/>
    </row>
    <row r="661" spans="1:12" x14ac:dyDescent="0.45">
      <c r="A661" s="3" t="s">
        <v>841</v>
      </c>
      <c r="B661" s="3" t="s">
        <v>1576</v>
      </c>
      <c r="C661" s="3" t="s">
        <v>635</v>
      </c>
      <c r="D661" s="9">
        <v>64</v>
      </c>
      <c r="E661" s="3" t="s">
        <v>139</v>
      </c>
      <c r="F661" s="3" t="s">
        <v>821</v>
      </c>
      <c r="G661" s="9">
        <v>378.4</v>
      </c>
      <c r="H661" s="10">
        <v>45667.687881944446</v>
      </c>
      <c r="I661" s="10">
        <v>45667.687881944446</v>
      </c>
      <c r="J661" s="10">
        <v>45667.689074074071</v>
      </c>
      <c r="K661" s="11">
        <v>1.19212962962963E-3</v>
      </c>
      <c r="L661" s="13"/>
    </row>
    <row r="662" spans="1:12" x14ac:dyDescent="0.45">
      <c r="A662" s="3" t="s">
        <v>841</v>
      </c>
      <c r="B662" s="3" t="s">
        <v>1577</v>
      </c>
      <c r="C662" s="3" t="s">
        <v>637</v>
      </c>
      <c r="D662" s="9">
        <v>80</v>
      </c>
      <c r="E662" s="3" t="s">
        <v>139</v>
      </c>
      <c r="F662" s="3" t="s">
        <v>820</v>
      </c>
      <c r="G662" s="9">
        <v>405.03</v>
      </c>
      <c r="H662" s="10">
        <v>45667.689074074071</v>
      </c>
      <c r="I662" s="10">
        <v>45667.689074074071</v>
      </c>
      <c r="J662" s="10">
        <v>45667.690393518518</v>
      </c>
      <c r="K662" s="11">
        <v>1.3194444444444441E-3</v>
      </c>
      <c r="L662" s="13"/>
    </row>
    <row r="663" spans="1:12" x14ac:dyDescent="0.45">
      <c r="A663" s="3" t="s">
        <v>841</v>
      </c>
      <c r="B663" s="3" t="s">
        <v>1578</v>
      </c>
      <c r="C663" s="3" t="s">
        <v>639</v>
      </c>
      <c r="D663" s="9">
        <v>80</v>
      </c>
      <c r="E663" s="3" t="s">
        <v>139</v>
      </c>
      <c r="F663" s="3" t="s">
        <v>821</v>
      </c>
      <c r="G663" s="9">
        <v>378.4</v>
      </c>
      <c r="H663" s="10">
        <v>45667.690393518518</v>
      </c>
      <c r="I663" s="10">
        <v>45667.690393518518</v>
      </c>
      <c r="J663" s="10">
        <v>45667.691620370373</v>
      </c>
      <c r="K663" s="11">
        <v>1.226851851851852E-3</v>
      </c>
      <c r="L663" s="13"/>
    </row>
    <row r="664" spans="1:12" x14ac:dyDescent="0.45">
      <c r="A664" s="3" t="s">
        <v>841</v>
      </c>
      <c r="B664" s="3" t="s">
        <v>1579</v>
      </c>
      <c r="C664" s="3" t="s">
        <v>641</v>
      </c>
      <c r="D664" s="9">
        <v>48</v>
      </c>
      <c r="E664" s="3" t="s">
        <v>139</v>
      </c>
      <c r="F664" s="3" t="s">
        <v>816</v>
      </c>
      <c r="G664" s="9">
        <v>297.43</v>
      </c>
      <c r="H664" s="10">
        <v>45667.71303240741</v>
      </c>
      <c r="I664" s="10">
        <v>45667.71303240741</v>
      </c>
      <c r="J664" s="10">
        <v>45667.713969907411</v>
      </c>
      <c r="K664" s="11">
        <v>9.3749999999999997E-4</v>
      </c>
      <c r="L664" s="13"/>
    </row>
    <row r="665" spans="1:12" x14ac:dyDescent="0.45">
      <c r="A665" s="3" t="s">
        <v>841</v>
      </c>
      <c r="B665" s="3" t="s">
        <v>1580</v>
      </c>
      <c r="C665" s="3" t="s">
        <v>644</v>
      </c>
      <c r="D665" s="9">
        <v>32</v>
      </c>
      <c r="E665" s="3" t="s">
        <v>139</v>
      </c>
      <c r="F665" s="3" t="s">
        <v>813</v>
      </c>
      <c r="G665" s="9">
        <v>269.92</v>
      </c>
      <c r="H665" s="10">
        <v>45667.713969907411</v>
      </c>
      <c r="I665" s="10">
        <v>45667.713969907411</v>
      </c>
      <c r="J665" s="10">
        <v>45667.714791666673</v>
      </c>
      <c r="K665" s="11">
        <v>8.2175925925925927E-4</v>
      </c>
      <c r="L665" s="13"/>
    </row>
    <row r="666" spans="1:12" x14ac:dyDescent="0.45">
      <c r="A666" s="3" t="s">
        <v>841</v>
      </c>
      <c r="B666" s="3" t="s">
        <v>1581</v>
      </c>
      <c r="C666" s="3" t="s">
        <v>646</v>
      </c>
      <c r="D666" s="9">
        <v>48</v>
      </c>
      <c r="E666" s="3" t="s">
        <v>139</v>
      </c>
      <c r="F666" s="3" t="s">
        <v>816</v>
      </c>
      <c r="G666" s="9">
        <v>297.43</v>
      </c>
      <c r="H666" s="10">
        <v>45667.714791666673</v>
      </c>
      <c r="I666" s="10">
        <v>45667.714791666673</v>
      </c>
      <c r="J666" s="10">
        <v>45667.715729166674</v>
      </c>
      <c r="K666" s="11">
        <v>9.3749999999999997E-4</v>
      </c>
      <c r="L666" s="13"/>
    </row>
    <row r="667" spans="1:12" x14ac:dyDescent="0.45">
      <c r="A667" s="3" t="s">
        <v>841</v>
      </c>
      <c r="B667" s="3" t="s">
        <v>1582</v>
      </c>
      <c r="C667" s="3" t="s">
        <v>1583</v>
      </c>
      <c r="D667" s="9">
        <v>96</v>
      </c>
      <c r="E667" s="3" t="s">
        <v>139</v>
      </c>
      <c r="F667" s="3" t="s">
        <v>817</v>
      </c>
      <c r="G667" s="9">
        <v>477.75</v>
      </c>
      <c r="H667" s="10">
        <v>45667.84097222222</v>
      </c>
      <c r="I667" s="10">
        <v>45667.84097222222</v>
      </c>
      <c r="J667" s="10">
        <v>45667.842523148152</v>
      </c>
      <c r="K667" s="11">
        <v>1.5509259259259261E-3</v>
      </c>
      <c r="L667" s="13"/>
    </row>
    <row r="668" spans="1:12" x14ac:dyDescent="0.45">
      <c r="A668" s="3" t="s">
        <v>841</v>
      </c>
      <c r="B668" s="3" t="s">
        <v>1584</v>
      </c>
      <c r="C668" s="3" t="s">
        <v>653</v>
      </c>
      <c r="D668" s="9">
        <v>48</v>
      </c>
      <c r="E668" s="3" t="s">
        <v>139</v>
      </c>
      <c r="F668" s="3" t="s">
        <v>815</v>
      </c>
      <c r="G668" s="9">
        <v>405.43</v>
      </c>
      <c r="H668" s="10">
        <v>45667.842523148152</v>
      </c>
      <c r="I668" s="10">
        <v>45667.842523148152</v>
      </c>
      <c r="J668" s="10">
        <v>45667.843761574077</v>
      </c>
      <c r="K668" s="11">
        <v>1.238425925925926E-3</v>
      </c>
      <c r="L668" s="13"/>
    </row>
    <row r="669" spans="1:12" x14ac:dyDescent="0.45">
      <c r="A669" s="3" t="s">
        <v>841</v>
      </c>
      <c r="B669" s="3" t="s">
        <v>1585</v>
      </c>
      <c r="C669" s="3" t="s">
        <v>656</v>
      </c>
      <c r="D669" s="9">
        <v>32</v>
      </c>
      <c r="E669" s="3" t="s">
        <v>139</v>
      </c>
      <c r="F669" s="3" t="s">
        <v>819</v>
      </c>
      <c r="G669" s="9">
        <v>412.05</v>
      </c>
      <c r="H669" s="10">
        <v>45667.945462962962</v>
      </c>
      <c r="I669" s="10">
        <v>45667.945462962962</v>
      </c>
      <c r="J669" s="10">
        <v>45667.94667824074</v>
      </c>
      <c r="K669" s="11">
        <v>1.215277777777778E-3</v>
      </c>
      <c r="L669" s="13"/>
    </row>
    <row r="670" spans="1:12" x14ac:dyDescent="0.45">
      <c r="A670" s="3" t="s">
        <v>841</v>
      </c>
      <c r="B670" s="3" t="s">
        <v>1586</v>
      </c>
      <c r="C670" s="3" t="s">
        <v>659</v>
      </c>
      <c r="D670" s="9">
        <v>32</v>
      </c>
      <c r="E670" s="3" t="s">
        <v>139</v>
      </c>
      <c r="F670" s="3" t="s">
        <v>818</v>
      </c>
      <c r="G670" s="9">
        <v>459.96</v>
      </c>
      <c r="H670" s="10">
        <v>45667.94667824074</v>
      </c>
      <c r="I670" s="10">
        <v>45667.94667824074</v>
      </c>
      <c r="J670" s="10">
        <v>45667.94803240741</v>
      </c>
      <c r="K670" s="11">
        <v>1.3541666666666669E-3</v>
      </c>
      <c r="L670" s="13"/>
    </row>
    <row r="671" spans="1:12" x14ac:dyDescent="0.45">
      <c r="A671" s="3" t="s">
        <v>841</v>
      </c>
      <c r="B671" s="3" t="s">
        <v>1587</v>
      </c>
      <c r="C671" s="3" t="s">
        <v>662</v>
      </c>
      <c r="D671" s="9">
        <v>32</v>
      </c>
      <c r="E671" s="3" t="s">
        <v>139</v>
      </c>
      <c r="F671" s="3" t="s">
        <v>819</v>
      </c>
      <c r="G671" s="9">
        <v>412.05</v>
      </c>
      <c r="H671" s="10">
        <v>45667.94803240741</v>
      </c>
      <c r="I671" s="10">
        <v>45667.94803240741</v>
      </c>
      <c r="J671" s="10">
        <v>45667.949247685188</v>
      </c>
      <c r="K671" s="11">
        <v>1.215277777777778E-3</v>
      </c>
      <c r="L671" s="13"/>
    </row>
    <row r="672" spans="1:12" x14ac:dyDescent="0.45">
      <c r="A672" s="3" t="s">
        <v>841</v>
      </c>
      <c r="B672" s="3" t="s">
        <v>1588</v>
      </c>
      <c r="C672" s="3" t="s">
        <v>1589</v>
      </c>
      <c r="D672" s="9">
        <v>112</v>
      </c>
      <c r="E672" s="3" t="s">
        <v>139</v>
      </c>
      <c r="F672" s="3" t="s">
        <v>818</v>
      </c>
      <c r="G672" s="9">
        <v>459.96</v>
      </c>
      <c r="H672" s="10">
        <v>45668.257106481477</v>
      </c>
      <c r="I672" s="10">
        <v>45668.257106481477</v>
      </c>
      <c r="J672" s="10">
        <v>45668.258634259262</v>
      </c>
      <c r="K672" s="11">
        <v>1.5277777777777781E-3</v>
      </c>
      <c r="L672" s="13"/>
    </row>
    <row r="673" spans="1:12" x14ac:dyDescent="0.45">
      <c r="A673" s="3" t="s">
        <v>841</v>
      </c>
      <c r="B673" s="3" t="s">
        <v>1590</v>
      </c>
      <c r="C673" s="3" t="s">
        <v>668</v>
      </c>
      <c r="D673" s="9">
        <v>48</v>
      </c>
      <c r="E673" s="3" t="s">
        <v>139</v>
      </c>
      <c r="F673" s="3" t="s">
        <v>813</v>
      </c>
      <c r="G673" s="9">
        <v>269.92</v>
      </c>
      <c r="H673" s="10">
        <v>45668.267893518518</v>
      </c>
      <c r="I673" s="10">
        <v>45668.267893518518</v>
      </c>
      <c r="J673" s="10">
        <v>45668.268750000003</v>
      </c>
      <c r="K673" s="11">
        <v>8.564814814814815E-4</v>
      </c>
      <c r="L673" s="13"/>
    </row>
    <row r="674" spans="1:12" x14ac:dyDescent="0.45">
      <c r="A674" s="3" t="s">
        <v>841</v>
      </c>
      <c r="B674" s="3" t="s">
        <v>1591</v>
      </c>
      <c r="C674" s="3" t="s">
        <v>670</v>
      </c>
      <c r="D674" s="9">
        <v>32</v>
      </c>
      <c r="E674" s="3" t="s">
        <v>139</v>
      </c>
      <c r="F674" s="3" t="s">
        <v>820</v>
      </c>
      <c r="G674" s="9">
        <v>405.03</v>
      </c>
      <c r="H674" s="10">
        <v>45668.268750000003</v>
      </c>
      <c r="I674" s="10">
        <v>45668.268750000003</v>
      </c>
      <c r="J674" s="10">
        <v>45668.269953703697</v>
      </c>
      <c r="K674" s="11">
        <v>1.203703703703704E-3</v>
      </c>
      <c r="L674" s="13"/>
    </row>
    <row r="675" spans="1:12" x14ac:dyDescent="0.45">
      <c r="A675" s="3" t="s">
        <v>841</v>
      </c>
      <c r="B675" s="3" t="s">
        <v>1592</v>
      </c>
      <c r="C675" s="3" t="s">
        <v>673</v>
      </c>
      <c r="D675" s="9">
        <v>48</v>
      </c>
      <c r="E675" s="3" t="s">
        <v>139</v>
      </c>
      <c r="F675" s="3" t="s">
        <v>821</v>
      </c>
      <c r="G675" s="9">
        <v>378.4</v>
      </c>
      <c r="H675" s="10">
        <v>45668.269953703697</v>
      </c>
      <c r="I675" s="10">
        <v>45668.269953703697</v>
      </c>
      <c r="J675" s="10">
        <v>45668.271111111113</v>
      </c>
      <c r="K675" s="11">
        <v>1.1574074074074069E-3</v>
      </c>
      <c r="L675" s="13"/>
    </row>
    <row r="676" spans="1:12" x14ac:dyDescent="0.45">
      <c r="A676" s="3" t="s">
        <v>841</v>
      </c>
      <c r="B676" s="3" t="s">
        <v>1593</v>
      </c>
      <c r="C676" s="3" t="s">
        <v>1594</v>
      </c>
      <c r="D676" s="9">
        <v>128</v>
      </c>
      <c r="E676" s="3" t="s">
        <v>139</v>
      </c>
      <c r="F676" s="3" t="s">
        <v>821</v>
      </c>
      <c r="G676" s="9">
        <v>378.4</v>
      </c>
      <c r="H676" s="10">
        <v>45668.278900462959</v>
      </c>
      <c r="I676" s="10">
        <v>45668.278900462959</v>
      </c>
      <c r="J676" s="10">
        <v>45668.280243055553</v>
      </c>
      <c r="K676" s="11">
        <v>1.3425925925925921E-3</v>
      </c>
      <c r="L676" s="13"/>
    </row>
    <row r="677" spans="1:12" x14ac:dyDescent="0.45">
      <c r="A677" s="3" t="s">
        <v>841</v>
      </c>
      <c r="B677" s="3" t="s">
        <v>1595</v>
      </c>
      <c r="C677" s="3" t="s">
        <v>1596</v>
      </c>
      <c r="D677" s="9">
        <v>112</v>
      </c>
      <c r="E677" s="3" t="s">
        <v>139</v>
      </c>
      <c r="F677" s="3" t="s">
        <v>819</v>
      </c>
      <c r="G677" s="9">
        <v>412.05</v>
      </c>
      <c r="H677" s="10">
        <v>45668.295844907407</v>
      </c>
      <c r="I677" s="10">
        <v>45668.295844907407</v>
      </c>
      <c r="J677" s="10">
        <v>45668.297256944446</v>
      </c>
      <c r="K677" s="11">
        <v>1.4120370370370369E-3</v>
      </c>
      <c r="L677" s="13"/>
    </row>
    <row r="678" spans="1:12" x14ac:dyDescent="0.45">
      <c r="A678" s="3" t="s">
        <v>841</v>
      </c>
      <c r="B678" s="3" t="s">
        <v>1597</v>
      </c>
      <c r="C678" s="3" t="s">
        <v>688</v>
      </c>
      <c r="D678" s="9">
        <v>32</v>
      </c>
      <c r="E678" s="3" t="s">
        <v>139</v>
      </c>
      <c r="F678" s="3" t="s">
        <v>817</v>
      </c>
      <c r="G678" s="9">
        <v>477.75</v>
      </c>
      <c r="H678" s="10">
        <v>45668.312083333331</v>
      </c>
      <c r="I678" s="10">
        <v>45668.312083333331</v>
      </c>
      <c r="J678" s="10">
        <v>45668.313483796293</v>
      </c>
      <c r="K678" s="11">
        <v>1.4004629629629629E-3</v>
      </c>
      <c r="L678" s="13"/>
    </row>
    <row r="679" spans="1:12" x14ac:dyDescent="0.45">
      <c r="A679" s="3" t="s">
        <v>841</v>
      </c>
      <c r="B679" s="3" t="s">
        <v>1598</v>
      </c>
      <c r="C679" s="3" t="s">
        <v>690</v>
      </c>
      <c r="D679" s="9">
        <v>32</v>
      </c>
      <c r="E679" s="3" t="s">
        <v>139</v>
      </c>
      <c r="F679" s="3" t="s">
        <v>814</v>
      </c>
      <c r="G679" s="9">
        <v>450.42</v>
      </c>
      <c r="H679" s="10">
        <v>45668.313483796293</v>
      </c>
      <c r="I679" s="10">
        <v>45668.313483796293</v>
      </c>
      <c r="J679" s="10">
        <v>45668.314803240741</v>
      </c>
      <c r="K679" s="11">
        <v>1.3194444444444441E-3</v>
      </c>
      <c r="L679" s="13"/>
    </row>
    <row r="680" spans="1:12" x14ac:dyDescent="0.45">
      <c r="A680" s="3" t="s">
        <v>841</v>
      </c>
      <c r="B680" s="3" t="s">
        <v>1599</v>
      </c>
      <c r="C680" s="3" t="s">
        <v>692</v>
      </c>
      <c r="D680" s="9">
        <v>48</v>
      </c>
      <c r="E680" s="3" t="s">
        <v>139</v>
      </c>
      <c r="F680" s="3" t="s">
        <v>813</v>
      </c>
      <c r="G680" s="9">
        <v>269.92</v>
      </c>
      <c r="H680" s="10">
        <v>45668.314803240741</v>
      </c>
      <c r="I680" s="10">
        <v>45668.314803240741</v>
      </c>
      <c r="J680" s="10">
        <v>45668.315671296303</v>
      </c>
      <c r="K680" s="11">
        <v>8.6805555555555551E-4</v>
      </c>
      <c r="L680" s="13"/>
    </row>
    <row r="681" spans="1:12" x14ac:dyDescent="0.45">
      <c r="A681" s="3" t="s">
        <v>841</v>
      </c>
      <c r="B681" s="3" t="s">
        <v>1600</v>
      </c>
      <c r="C681" s="3" t="s">
        <v>695</v>
      </c>
      <c r="D681" s="9">
        <v>80</v>
      </c>
      <c r="E681" s="3" t="s">
        <v>139</v>
      </c>
      <c r="F681" s="3" t="s">
        <v>817</v>
      </c>
      <c r="G681" s="9">
        <v>477.75</v>
      </c>
      <c r="H681" s="10">
        <v>45668.507013888891</v>
      </c>
      <c r="I681" s="10">
        <v>45668.507013888891</v>
      </c>
      <c r="J681" s="10">
        <v>45668.508518518523</v>
      </c>
      <c r="K681" s="11">
        <v>1.5046296296296301E-3</v>
      </c>
      <c r="L681" s="13"/>
    </row>
    <row r="682" spans="1:12" x14ac:dyDescent="0.45">
      <c r="A682" s="3" t="s">
        <v>841</v>
      </c>
      <c r="B682" s="3" t="s">
        <v>1601</v>
      </c>
      <c r="C682" s="3" t="s">
        <v>698</v>
      </c>
      <c r="D682" s="9">
        <v>32</v>
      </c>
      <c r="E682" s="3" t="s">
        <v>139</v>
      </c>
      <c r="F682" s="3" t="s">
        <v>816</v>
      </c>
      <c r="G682" s="9">
        <v>297.43</v>
      </c>
      <c r="H682" s="10">
        <v>45668.508518518523</v>
      </c>
      <c r="I682" s="10">
        <v>45668.508518518523</v>
      </c>
      <c r="J682" s="10">
        <v>45668.509421296287</v>
      </c>
      <c r="K682" s="11">
        <v>9.0277777777777774E-4</v>
      </c>
      <c r="L682" s="13"/>
    </row>
    <row r="683" spans="1:12" x14ac:dyDescent="0.45">
      <c r="A683" s="3" t="s">
        <v>841</v>
      </c>
      <c r="B683" s="3" t="s">
        <v>1602</v>
      </c>
      <c r="C683" s="3" t="s">
        <v>1603</v>
      </c>
      <c r="D683" s="9">
        <v>112</v>
      </c>
      <c r="E683" s="3" t="s">
        <v>139</v>
      </c>
      <c r="F683" s="3" t="s">
        <v>815</v>
      </c>
      <c r="G683" s="9">
        <v>405.43</v>
      </c>
      <c r="H683" s="10">
        <v>45668.519375000003</v>
      </c>
      <c r="I683" s="10">
        <v>45668.519375000003</v>
      </c>
      <c r="J683" s="10">
        <v>45668.52076388889</v>
      </c>
      <c r="K683" s="11">
        <v>1.3888888888888889E-3</v>
      </c>
      <c r="L683" s="13"/>
    </row>
    <row r="684" spans="1:12" x14ac:dyDescent="0.45">
      <c r="A684" s="3" t="s">
        <v>841</v>
      </c>
      <c r="B684" s="3" t="s">
        <v>1604</v>
      </c>
      <c r="C684" s="3" t="s">
        <v>704</v>
      </c>
      <c r="D684" s="9">
        <v>32</v>
      </c>
      <c r="E684" s="3" t="s">
        <v>139</v>
      </c>
      <c r="F684" s="3" t="s">
        <v>820</v>
      </c>
      <c r="G684" s="9">
        <v>405.03</v>
      </c>
      <c r="H684" s="10">
        <v>45668.52076388889</v>
      </c>
      <c r="I684" s="10">
        <v>45668.52076388889</v>
      </c>
      <c r="J684" s="10">
        <v>45668.521956018521</v>
      </c>
      <c r="K684" s="11">
        <v>1.19212962962963E-3</v>
      </c>
      <c r="L684" s="13"/>
    </row>
    <row r="685" spans="1:12" x14ac:dyDescent="0.45">
      <c r="A685" s="3" t="s">
        <v>841</v>
      </c>
      <c r="B685" s="3" t="s">
        <v>1605</v>
      </c>
      <c r="C685" s="3" t="s">
        <v>1606</v>
      </c>
      <c r="D685" s="9">
        <v>112</v>
      </c>
      <c r="E685" s="3" t="s">
        <v>141</v>
      </c>
      <c r="F685" s="3" t="s">
        <v>813</v>
      </c>
      <c r="G685" s="9">
        <v>263.08999999999997</v>
      </c>
      <c r="H685" s="10">
        <v>45668.528090277781</v>
      </c>
      <c r="I685" s="10">
        <v>45668.528090277781</v>
      </c>
      <c r="J685" s="10">
        <v>45668.529074074067</v>
      </c>
      <c r="K685" s="11">
        <v>9.837962962962962E-4</v>
      </c>
      <c r="L685" s="13"/>
    </row>
    <row r="686" spans="1:12" x14ac:dyDescent="0.45">
      <c r="A686" s="3" t="s">
        <v>841</v>
      </c>
      <c r="B686" s="3" t="s">
        <v>1607</v>
      </c>
      <c r="C686" s="3" t="s">
        <v>710</v>
      </c>
      <c r="D686" s="9">
        <v>48</v>
      </c>
      <c r="E686" s="3" t="s">
        <v>139</v>
      </c>
      <c r="F686" s="3" t="s">
        <v>814</v>
      </c>
      <c r="G686" s="9">
        <v>450.42</v>
      </c>
      <c r="H686" s="10">
        <v>45668.534085648149</v>
      </c>
      <c r="I686" s="10">
        <v>45668.534085648149</v>
      </c>
      <c r="J686" s="10">
        <v>45668.535451388889</v>
      </c>
      <c r="K686" s="11">
        <v>1.3657407407407409E-3</v>
      </c>
      <c r="L686" s="13"/>
    </row>
    <row r="687" spans="1:12" x14ac:dyDescent="0.45">
      <c r="A687" s="3" t="s">
        <v>841</v>
      </c>
      <c r="B687" s="3" t="s">
        <v>1608</v>
      </c>
      <c r="C687" s="3" t="s">
        <v>712</v>
      </c>
      <c r="D687" s="9">
        <v>32</v>
      </c>
      <c r="E687" s="3" t="s">
        <v>139</v>
      </c>
      <c r="F687" s="3" t="s">
        <v>817</v>
      </c>
      <c r="G687" s="9">
        <v>477.75</v>
      </c>
      <c r="H687" s="10">
        <v>45668.535451388889</v>
      </c>
      <c r="I687" s="10">
        <v>45668.535451388889</v>
      </c>
      <c r="J687" s="10">
        <v>45668.536851851852</v>
      </c>
      <c r="K687" s="11">
        <v>1.4004629629629629E-3</v>
      </c>
      <c r="L687" s="13"/>
    </row>
    <row r="688" spans="1:12" x14ac:dyDescent="0.45">
      <c r="A688" s="3" t="s">
        <v>841</v>
      </c>
      <c r="B688" s="3" t="s">
        <v>1609</v>
      </c>
      <c r="C688" s="3" t="s">
        <v>714</v>
      </c>
      <c r="D688" s="9">
        <v>48</v>
      </c>
      <c r="E688" s="3" t="s">
        <v>139</v>
      </c>
      <c r="F688" s="3" t="s">
        <v>819</v>
      </c>
      <c r="G688" s="9">
        <v>412.05</v>
      </c>
      <c r="H688" s="10">
        <v>45668.536851851852</v>
      </c>
      <c r="I688" s="10">
        <v>45668.536851851852</v>
      </c>
      <c r="J688" s="10">
        <v>45668.538101851853</v>
      </c>
      <c r="K688" s="11">
        <v>1.25E-3</v>
      </c>
      <c r="L688" s="13"/>
    </row>
    <row r="689" spans="1:12" x14ac:dyDescent="0.45">
      <c r="A689" s="3" t="s">
        <v>841</v>
      </c>
      <c r="B689" s="3" t="s">
        <v>1610</v>
      </c>
      <c r="C689" s="3" t="s">
        <v>1611</v>
      </c>
      <c r="D689" s="9">
        <v>96</v>
      </c>
      <c r="E689" s="3" t="s">
        <v>141</v>
      </c>
      <c r="F689" s="3" t="s">
        <v>818</v>
      </c>
      <c r="G689" s="9">
        <v>453.13</v>
      </c>
      <c r="H689" s="10">
        <v>45668.547164351847</v>
      </c>
      <c r="I689" s="10">
        <v>45668.547164351847</v>
      </c>
      <c r="J689" s="10">
        <v>45668.548645833333</v>
      </c>
      <c r="K689" s="11">
        <v>1.481481481481481E-3</v>
      </c>
      <c r="L689" s="13"/>
    </row>
    <row r="690" spans="1:12" x14ac:dyDescent="0.45">
      <c r="A690" s="3" t="s">
        <v>841</v>
      </c>
      <c r="B690" s="3" t="s">
        <v>1612</v>
      </c>
      <c r="C690" s="3" t="s">
        <v>722</v>
      </c>
      <c r="D690" s="9">
        <v>32</v>
      </c>
      <c r="E690" s="3" t="s">
        <v>141</v>
      </c>
      <c r="F690" s="3" t="s">
        <v>821</v>
      </c>
      <c r="G690" s="9">
        <v>371.57</v>
      </c>
      <c r="H690" s="10">
        <v>45668.548645833333</v>
      </c>
      <c r="I690" s="10">
        <v>45668.548645833333</v>
      </c>
      <c r="J690" s="10">
        <v>45668.549756944441</v>
      </c>
      <c r="K690" s="11">
        <v>1.1111111111111109E-3</v>
      </c>
      <c r="L690" s="13"/>
    </row>
    <row r="691" spans="1:12" x14ac:dyDescent="0.45">
      <c r="A691" s="3" t="s">
        <v>841</v>
      </c>
      <c r="B691" s="3" t="s">
        <v>1613</v>
      </c>
      <c r="C691" s="3" t="s">
        <v>725</v>
      </c>
      <c r="D691" s="9">
        <v>80</v>
      </c>
      <c r="E691" s="3" t="s">
        <v>141</v>
      </c>
      <c r="F691" s="3" t="s">
        <v>818</v>
      </c>
      <c r="G691" s="9">
        <v>453.13</v>
      </c>
      <c r="H691" s="10">
        <v>45668.549756944441</v>
      </c>
      <c r="I691" s="10">
        <v>45668.549756944441</v>
      </c>
      <c r="J691" s="10">
        <v>45668.551203703697</v>
      </c>
      <c r="K691" s="11">
        <v>1.446759259259259E-3</v>
      </c>
      <c r="L691" s="13"/>
    </row>
    <row r="692" spans="1:12" x14ac:dyDescent="0.45">
      <c r="A692" s="3" t="s">
        <v>841</v>
      </c>
      <c r="B692" s="3" t="s">
        <v>1614</v>
      </c>
      <c r="C692" s="3" t="s">
        <v>727</v>
      </c>
      <c r="D692" s="9">
        <v>48</v>
      </c>
      <c r="E692" s="3" t="s">
        <v>139</v>
      </c>
      <c r="F692" s="3" t="s">
        <v>816</v>
      </c>
      <c r="G692" s="9">
        <v>297.43</v>
      </c>
      <c r="H692" s="10">
        <v>45668.552083333343</v>
      </c>
      <c r="I692" s="10">
        <v>45668.552083333343</v>
      </c>
      <c r="J692" s="10">
        <v>45668.553020833337</v>
      </c>
      <c r="K692" s="11">
        <v>9.3749999999999997E-4</v>
      </c>
      <c r="L692" s="13"/>
    </row>
    <row r="693" spans="1:12" x14ac:dyDescent="0.45">
      <c r="A693" s="3" t="s">
        <v>841</v>
      </c>
      <c r="B693" s="3" t="s">
        <v>1615</v>
      </c>
      <c r="C693" s="3" t="s">
        <v>730</v>
      </c>
      <c r="D693" s="9">
        <v>48</v>
      </c>
      <c r="E693" s="3" t="s">
        <v>139</v>
      </c>
      <c r="F693" s="3" t="s">
        <v>822</v>
      </c>
      <c r="G693" s="9">
        <v>350.87</v>
      </c>
      <c r="H693" s="10">
        <v>45668.553020833337</v>
      </c>
      <c r="I693" s="10">
        <v>45668.553020833337</v>
      </c>
      <c r="J693" s="10">
        <v>45668.554097222222</v>
      </c>
      <c r="K693" s="11">
        <v>1.0763888888888891E-3</v>
      </c>
      <c r="L693" s="13"/>
    </row>
    <row r="694" spans="1:12" x14ac:dyDescent="0.45">
      <c r="A694" s="3" t="s">
        <v>841</v>
      </c>
      <c r="B694" s="3" t="s">
        <v>1616</v>
      </c>
      <c r="C694" s="3" t="s">
        <v>733</v>
      </c>
      <c r="D694" s="9">
        <v>32</v>
      </c>
      <c r="E694" s="3" t="s">
        <v>139</v>
      </c>
      <c r="F694" s="3" t="s">
        <v>820</v>
      </c>
      <c r="G694" s="9">
        <v>405.03</v>
      </c>
      <c r="H694" s="10">
        <v>45668.756504629629</v>
      </c>
      <c r="I694" s="10">
        <v>45668.756504629629</v>
      </c>
      <c r="J694" s="10">
        <v>45668.757696759261</v>
      </c>
      <c r="K694" s="11">
        <v>1.19212962962963E-3</v>
      </c>
      <c r="L694" s="13"/>
    </row>
    <row r="695" spans="1:12" x14ac:dyDescent="0.45">
      <c r="A695" s="3" t="s">
        <v>841</v>
      </c>
      <c r="B695" s="3" t="s">
        <v>1617</v>
      </c>
      <c r="C695" s="3" t="s">
        <v>735</v>
      </c>
      <c r="D695" s="9">
        <v>48</v>
      </c>
      <c r="E695" s="3" t="s">
        <v>139</v>
      </c>
      <c r="F695" s="3" t="s">
        <v>813</v>
      </c>
      <c r="G695" s="9">
        <v>269.92</v>
      </c>
      <c r="H695" s="10">
        <v>45668.757696759261</v>
      </c>
      <c r="I695" s="10">
        <v>45668.757696759261</v>
      </c>
      <c r="J695" s="10">
        <v>45668.758564814823</v>
      </c>
      <c r="K695" s="11">
        <v>8.6805555555555551E-4</v>
      </c>
      <c r="L695" s="13"/>
    </row>
    <row r="696" spans="1:12" x14ac:dyDescent="0.45">
      <c r="A696" s="3" t="s">
        <v>841</v>
      </c>
      <c r="B696" s="3" t="s">
        <v>1618</v>
      </c>
      <c r="C696" s="3" t="s">
        <v>738</v>
      </c>
      <c r="D696" s="9">
        <v>64</v>
      </c>
      <c r="E696" s="3" t="s">
        <v>139</v>
      </c>
      <c r="F696" s="3" t="s">
        <v>816</v>
      </c>
      <c r="G696" s="9">
        <v>297.43</v>
      </c>
      <c r="H696" s="10">
        <v>45668.888553240737</v>
      </c>
      <c r="I696" s="10">
        <v>45668.888553240737</v>
      </c>
      <c r="J696" s="10">
        <v>45668.889525462961</v>
      </c>
      <c r="K696" s="11">
        <v>9.7222222222222219E-4</v>
      </c>
      <c r="L696" s="13"/>
    </row>
    <row r="697" spans="1:12" x14ac:dyDescent="0.45">
      <c r="A697" s="3" t="s">
        <v>841</v>
      </c>
      <c r="B697" s="3" t="s">
        <v>1619</v>
      </c>
      <c r="C697" s="3" t="s">
        <v>1620</v>
      </c>
      <c r="D697" s="9">
        <v>160</v>
      </c>
      <c r="E697" s="3" t="s">
        <v>139</v>
      </c>
      <c r="F697" s="3" t="s">
        <v>820</v>
      </c>
      <c r="G697" s="9">
        <v>405.03</v>
      </c>
      <c r="H697" s="10">
        <v>45668.889525462961</v>
      </c>
      <c r="I697" s="10">
        <v>45668.889525462961</v>
      </c>
      <c r="J697" s="10">
        <v>45668.891018518523</v>
      </c>
      <c r="K697" s="11">
        <v>1.4930555555555561E-3</v>
      </c>
      <c r="L697" s="13"/>
    </row>
    <row r="698" spans="1:12" x14ac:dyDescent="0.45">
      <c r="A698" s="3" t="s">
        <v>841</v>
      </c>
      <c r="B698" s="3" t="s">
        <v>1621</v>
      </c>
      <c r="C698" s="3" t="s">
        <v>746</v>
      </c>
      <c r="D698" s="9">
        <v>80</v>
      </c>
      <c r="E698" s="3" t="s">
        <v>139</v>
      </c>
      <c r="F698" s="3" t="s">
        <v>814</v>
      </c>
      <c r="G698" s="9">
        <v>450.42</v>
      </c>
      <c r="H698" s="10">
        <v>45668.891018518523</v>
      </c>
      <c r="I698" s="10">
        <v>45668.891018518523</v>
      </c>
      <c r="J698" s="10">
        <v>45668.892453703702</v>
      </c>
      <c r="K698" s="11">
        <v>1.435185185185185E-3</v>
      </c>
      <c r="L698" s="13"/>
    </row>
    <row r="699" spans="1:12" x14ac:dyDescent="0.45">
      <c r="A699" s="3" t="s">
        <v>841</v>
      </c>
      <c r="B699" s="3" t="s">
        <v>1622</v>
      </c>
      <c r="C699" s="3" t="s">
        <v>1623</v>
      </c>
      <c r="D699" s="9">
        <v>128</v>
      </c>
      <c r="E699" s="3" t="s">
        <v>139</v>
      </c>
      <c r="F699" s="3" t="s">
        <v>816</v>
      </c>
      <c r="G699" s="9">
        <v>297.43</v>
      </c>
      <c r="H699" s="10">
        <v>45668.987037037034</v>
      </c>
      <c r="I699" s="10">
        <v>45668.987037037034</v>
      </c>
      <c r="J699" s="10">
        <v>45668.988159722219</v>
      </c>
      <c r="K699" s="11">
        <v>1.1226851851851849E-3</v>
      </c>
      <c r="L699" s="13"/>
    </row>
    <row r="700" spans="1:12" x14ac:dyDescent="0.45">
      <c r="A700" s="3" t="s">
        <v>841</v>
      </c>
      <c r="B700" s="3" t="s">
        <v>1624</v>
      </c>
      <c r="C700" s="3" t="s">
        <v>754</v>
      </c>
      <c r="D700" s="9">
        <v>32</v>
      </c>
      <c r="E700" s="3" t="s">
        <v>139</v>
      </c>
      <c r="F700" s="3" t="s">
        <v>817</v>
      </c>
      <c r="G700" s="9">
        <v>477.75</v>
      </c>
      <c r="H700" s="10">
        <v>45668.988159722219</v>
      </c>
      <c r="I700" s="10">
        <v>45668.988159722219</v>
      </c>
      <c r="J700" s="10">
        <v>45668.989560185182</v>
      </c>
      <c r="K700" s="11">
        <v>1.4004629629629629E-3</v>
      </c>
      <c r="L700" s="13"/>
    </row>
    <row r="701" spans="1:12" x14ac:dyDescent="0.45">
      <c r="A701" s="3" t="s">
        <v>841</v>
      </c>
      <c r="B701" s="3" t="s">
        <v>1625</v>
      </c>
      <c r="C701" s="3" t="s">
        <v>757</v>
      </c>
      <c r="D701" s="9">
        <v>32</v>
      </c>
      <c r="E701" s="3" t="s">
        <v>139</v>
      </c>
      <c r="F701" s="3" t="s">
        <v>819</v>
      </c>
      <c r="G701" s="9">
        <v>412.05</v>
      </c>
      <c r="H701" s="10">
        <v>45669.346863425933</v>
      </c>
      <c r="I701" s="10">
        <v>45669.346863425933</v>
      </c>
      <c r="J701" s="10">
        <v>45669.348078703697</v>
      </c>
      <c r="K701" s="11">
        <v>1.215277777777778E-3</v>
      </c>
      <c r="L701" s="13"/>
    </row>
    <row r="702" spans="1:12" x14ac:dyDescent="0.45">
      <c r="A702" s="3" t="s">
        <v>841</v>
      </c>
      <c r="B702" s="3" t="s">
        <v>1626</v>
      </c>
      <c r="C702" s="3" t="s">
        <v>759</v>
      </c>
      <c r="D702" s="9">
        <v>48</v>
      </c>
      <c r="E702" s="3" t="s">
        <v>139</v>
      </c>
      <c r="F702" s="3" t="s">
        <v>813</v>
      </c>
      <c r="G702" s="9">
        <v>269.92</v>
      </c>
      <c r="H702" s="10">
        <v>45669.348078703697</v>
      </c>
      <c r="I702" s="10">
        <v>45669.348078703697</v>
      </c>
      <c r="J702" s="10">
        <v>45669.348946759259</v>
      </c>
      <c r="K702" s="11">
        <v>8.6805555555555551E-4</v>
      </c>
      <c r="L702" s="13"/>
    </row>
    <row r="703" spans="1:12" x14ac:dyDescent="0.45">
      <c r="A703" s="3" t="s">
        <v>841</v>
      </c>
      <c r="B703" s="3" t="s">
        <v>1627</v>
      </c>
      <c r="C703" s="3" t="s">
        <v>1628</v>
      </c>
      <c r="D703" s="9">
        <v>80</v>
      </c>
      <c r="E703" s="3" t="s">
        <v>139</v>
      </c>
      <c r="F703" s="3" t="s">
        <v>819</v>
      </c>
      <c r="G703" s="9">
        <v>412.05</v>
      </c>
      <c r="H703" s="10">
        <v>45669.348946759259</v>
      </c>
      <c r="I703" s="10">
        <v>45669.348946759259</v>
      </c>
      <c r="J703" s="10">
        <v>45669.350266203714</v>
      </c>
      <c r="K703" s="11">
        <v>1.3194444444444441E-3</v>
      </c>
      <c r="L703" s="13"/>
    </row>
    <row r="704" spans="1:12" x14ac:dyDescent="0.45">
      <c r="A704" s="3" t="s">
        <v>841</v>
      </c>
      <c r="B704" s="3" t="s">
        <v>1629</v>
      </c>
      <c r="C704" s="3" t="s">
        <v>765</v>
      </c>
      <c r="D704" s="9">
        <v>48</v>
      </c>
      <c r="E704" s="3" t="s">
        <v>139</v>
      </c>
      <c r="F704" s="3" t="s">
        <v>813</v>
      </c>
      <c r="G704" s="9">
        <v>269.92</v>
      </c>
      <c r="H704" s="10">
        <v>45669.350266203714</v>
      </c>
      <c r="I704" s="10">
        <v>45669.350266203714</v>
      </c>
      <c r="J704" s="10">
        <v>45669.351134259261</v>
      </c>
      <c r="K704" s="11">
        <v>8.6805555555555551E-4</v>
      </c>
      <c r="L704" s="13"/>
    </row>
    <row r="705" spans="1:12" x14ac:dyDescent="0.45">
      <c r="A705" s="3" t="s">
        <v>841</v>
      </c>
      <c r="B705" s="3" t="s">
        <v>1630</v>
      </c>
      <c r="C705" s="3" t="s">
        <v>767</v>
      </c>
      <c r="D705" s="9">
        <v>80</v>
      </c>
      <c r="E705" s="3" t="s">
        <v>139</v>
      </c>
      <c r="F705" s="3" t="s">
        <v>822</v>
      </c>
      <c r="G705" s="9">
        <v>350.87</v>
      </c>
      <c r="H705" s="10">
        <v>45669.403113425928</v>
      </c>
      <c r="I705" s="10">
        <v>45669.403113425928</v>
      </c>
      <c r="J705" s="10">
        <v>45669.404270833344</v>
      </c>
      <c r="K705" s="11">
        <v>1.1574074074074069E-3</v>
      </c>
      <c r="L705" s="13"/>
    </row>
    <row r="706" spans="1:12" x14ac:dyDescent="0.45">
      <c r="A706" s="3" t="s">
        <v>841</v>
      </c>
      <c r="B706" s="3" t="s">
        <v>1631</v>
      </c>
      <c r="C706" s="3" t="s">
        <v>769</v>
      </c>
      <c r="D706" s="9">
        <v>48</v>
      </c>
      <c r="E706" s="3" t="s">
        <v>139</v>
      </c>
      <c r="F706" s="3" t="s">
        <v>817</v>
      </c>
      <c r="G706" s="9">
        <v>477.75</v>
      </c>
      <c r="H706" s="10">
        <v>45669.404270833344</v>
      </c>
      <c r="I706" s="10">
        <v>45669.404270833344</v>
      </c>
      <c r="J706" s="10">
        <v>45669.405717592592</v>
      </c>
      <c r="K706" s="11">
        <v>1.446759259259259E-3</v>
      </c>
      <c r="L706" s="13"/>
    </row>
    <row r="707" spans="1:12" x14ac:dyDescent="0.45">
      <c r="A707" s="3" t="s">
        <v>841</v>
      </c>
      <c r="B707" s="3" t="s">
        <v>1632</v>
      </c>
      <c r="C707" s="3" t="s">
        <v>771</v>
      </c>
      <c r="D707" s="9">
        <v>48</v>
      </c>
      <c r="E707" s="3" t="s">
        <v>139</v>
      </c>
      <c r="F707" s="3" t="s">
        <v>813</v>
      </c>
      <c r="G707" s="9">
        <v>269.92</v>
      </c>
      <c r="H707" s="10">
        <v>45669.405717592592</v>
      </c>
      <c r="I707" s="10">
        <v>45669.405717592592</v>
      </c>
      <c r="J707" s="10">
        <v>45669.406574074077</v>
      </c>
      <c r="K707" s="11">
        <v>8.564814814814815E-4</v>
      </c>
      <c r="L707" s="13"/>
    </row>
    <row r="708" spans="1:12" x14ac:dyDescent="0.45">
      <c r="A708" s="3" t="s">
        <v>841</v>
      </c>
      <c r="B708" s="3" t="s">
        <v>1633</v>
      </c>
      <c r="C708" s="3" t="s">
        <v>772</v>
      </c>
      <c r="D708" s="9">
        <v>32</v>
      </c>
      <c r="E708" s="3" t="s">
        <v>139</v>
      </c>
      <c r="F708" s="3" t="s">
        <v>821</v>
      </c>
      <c r="G708" s="9">
        <v>378.4</v>
      </c>
      <c r="H708" s="10">
        <v>45669.430960648147</v>
      </c>
      <c r="I708" s="10">
        <v>45669.430960648147</v>
      </c>
      <c r="J708" s="10">
        <v>45669.43209490741</v>
      </c>
      <c r="K708" s="11">
        <v>1.1342592592592589E-3</v>
      </c>
      <c r="L708" s="13"/>
    </row>
    <row r="709" spans="1:12" x14ac:dyDescent="0.45">
      <c r="A709" s="3" t="s">
        <v>841</v>
      </c>
      <c r="B709" s="3" t="s">
        <v>1634</v>
      </c>
      <c r="C709" s="3" t="s">
        <v>774</v>
      </c>
      <c r="D709" s="9">
        <v>32</v>
      </c>
      <c r="E709" s="3" t="s">
        <v>139</v>
      </c>
      <c r="F709" s="3" t="s">
        <v>816</v>
      </c>
      <c r="G709" s="9">
        <v>297.43</v>
      </c>
      <c r="H709" s="10">
        <v>45669.43209490741</v>
      </c>
      <c r="I709" s="10">
        <v>45669.43209490741</v>
      </c>
      <c r="J709" s="10">
        <v>45669.432986111111</v>
      </c>
      <c r="K709" s="11">
        <v>8.9120370370370373E-4</v>
      </c>
      <c r="L709" s="13"/>
    </row>
    <row r="710" spans="1:12" x14ac:dyDescent="0.45">
      <c r="A710" s="3" t="s">
        <v>841</v>
      </c>
      <c r="B710" s="3" t="s">
        <v>1635</v>
      </c>
      <c r="C710" s="3" t="s">
        <v>775</v>
      </c>
      <c r="D710" s="9">
        <v>64</v>
      </c>
      <c r="E710" s="3" t="s">
        <v>139</v>
      </c>
      <c r="F710" s="3" t="s">
        <v>821</v>
      </c>
      <c r="G710" s="9">
        <v>378.4</v>
      </c>
      <c r="H710" s="10">
        <v>45669.432986111111</v>
      </c>
      <c r="I710" s="10">
        <v>45669.432986111111</v>
      </c>
      <c r="J710" s="10">
        <v>45669.434189814812</v>
      </c>
      <c r="K710" s="11">
        <v>1.203703703703704E-3</v>
      </c>
      <c r="L710" s="13"/>
    </row>
    <row r="711" spans="1:12" x14ac:dyDescent="0.45">
      <c r="A711" s="3" t="s">
        <v>841</v>
      </c>
      <c r="B711" s="3" t="s">
        <v>1636</v>
      </c>
      <c r="C711" s="3" t="s">
        <v>777</v>
      </c>
      <c r="D711" s="9">
        <v>80</v>
      </c>
      <c r="E711" s="3" t="s">
        <v>139</v>
      </c>
      <c r="F711" s="3" t="s">
        <v>815</v>
      </c>
      <c r="G711" s="9">
        <v>405.43</v>
      </c>
      <c r="H711" s="10">
        <v>45669.468391203707</v>
      </c>
      <c r="I711" s="10">
        <v>45669.468391203707</v>
      </c>
      <c r="J711" s="10">
        <v>45669.469699074078</v>
      </c>
      <c r="K711" s="11">
        <v>1.30787037037037E-3</v>
      </c>
      <c r="L711" s="13"/>
    </row>
    <row r="712" spans="1:12" x14ac:dyDescent="0.45">
      <c r="A712" s="3" t="s">
        <v>841</v>
      </c>
      <c r="B712" s="3" t="s">
        <v>1637</v>
      </c>
      <c r="C712" s="3" t="s">
        <v>780</v>
      </c>
      <c r="D712" s="9">
        <v>32</v>
      </c>
      <c r="E712" s="3" t="s">
        <v>139</v>
      </c>
      <c r="F712" s="3" t="s">
        <v>816</v>
      </c>
      <c r="G712" s="9">
        <v>297.43</v>
      </c>
      <c r="H712" s="10">
        <v>45669.469699074078</v>
      </c>
      <c r="I712" s="10">
        <v>45669.469699074078</v>
      </c>
      <c r="J712" s="10">
        <v>45669.470601851863</v>
      </c>
      <c r="K712" s="11">
        <v>9.0277777777777774E-4</v>
      </c>
      <c r="L712" s="13"/>
    </row>
    <row r="713" spans="1:12" x14ac:dyDescent="0.45">
      <c r="A713" s="3" t="s">
        <v>841</v>
      </c>
      <c r="B713" s="3" t="s">
        <v>1638</v>
      </c>
      <c r="C713" s="3" t="s">
        <v>781</v>
      </c>
      <c r="D713" s="9">
        <v>64</v>
      </c>
      <c r="E713" s="3" t="s">
        <v>139</v>
      </c>
      <c r="F713" s="3" t="s">
        <v>815</v>
      </c>
      <c r="G713" s="9">
        <v>405.43</v>
      </c>
      <c r="H713" s="10">
        <v>45669.470601851863</v>
      </c>
      <c r="I713" s="10">
        <v>45669.470601851863</v>
      </c>
      <c r="J713" s="10">
        <v>45669.471875000003</v>
      </c>
      <c r="K713" s="11">
        <v>1.273148148148148E-3</v>
      </c>
      <c r="L713" s="13"/>
    </row>
    <row r="714" spans="1:12" x14ac:dyDescent="0.45">
      <c r="A714" s="3" t="s">
        <v>841</v>
      </c>
      <c r="B714" s="3" t="s">
        <v>1639</v>
      </c>
      <c r="C714" s="3" t="s">
        <v>783</v>
      </c>
      <c r="D714" s="9">
        <v>64</v>
      </c>
      <c r="E714" s="3" t="s">
        <v>139</v>
      </c>
      <c r="F714" s="3" t="s">
        <v>814</v>
      </c>
      <c r="G714" s="9">
        <v>450.42</v>
      </c>
      <c r="H714" s="10">
        <v>45669.50172453704</v>
      </c>
      <c r="I714" s="10">
        <v>45669.50172453704</v>
      </c>
      <c r="J714" s="10">
        <v>45669.503125000003</v>
      </c>
      <c r="K714" s="11">
        <v>1.4004629629629629E-3</v>
      </c>
      <c r="L714" s="13"/>
    </row>
    <row r="715" spans="1:12" x14ac:dyDescent="0.45">
      <c r="A715" s="3" t="s">
        <v>841</v>
      </c>
      <c r="B715" s="3" t="s">
        <v>1640</v>
      </c>
      <c r="C715" s="3" t="s">
        <v>785</v>
      </c>
      <c r="D715" s="9">
        <v>48</v>
      </c>
      <c r="E715" s="3" t="s">
        <v>139</v>
      </c>
      <c r="F715" s="3" t="s">
        <v>819</v>
      </c>
      <c r="G715" s="9">
        <v>412.05</v>
      </c>
      <c r="H715" s="10">
        <v>45669.503125000003</v>
      </c>
      <c r="I715" s="10">
        <v>45669.503125000003</v>
      </c>
      <c r="J715" s="10">
        <v>45669.504374999997</v>
      </c>
      <c r="K715" s="11">
        <v>1.25E-3</v>
      </c>
      <c r="L715" s="13"/>
    </row>
    <row r="716" spans="1:12" x14ac:dyDescent="0.45">
      <c r="A716" s="3" t="s">
        <v>841</v>
      </c>
      <c r="B716" s="3" t="s">
        <v>1641</v>
      </c>
      <c r="C716" s="3" t="s">
        <v>786</v>
      </c>
      <c r="D716" s="9">
        <v>64</v>
      </c>
      <c r="E716" s="3" t="s">
        <v>139</v>
      </c>
      <c r="F716" s="3" t="s">
        <v>818</v>
      </c>
      <c r="G716" s="9">
        <v>459.96</v>
      </c>
      <c r="H716" s="10">
        <v>45669.504374999997</v>
      </c>
      <c r="I716" s="10">
        <v>45669.504374999997</v>
      </c>
      <c r="J716" s="10">
        <v>45669.505798611113</v>
      </c>
      <c r="K716" s="11">
        <v>1.423611111111111E-3</v>
      </c>
      <c r="L716" s="13"/>
    </row>
    <row r="717" spans="1:12" x14ac:dyDescent="0.45">
      <c r="A717" s="3" t="s">
        <v>841</v>
      </c>
      <c r="B717" s="3" t="s">
        <v>1642</v>
      </c>
      <c r="C717" s="3" t="s">
        <v>789</v>
      </c>
      <c r="D717" s="9">
        <v>48</v>
      </c>
      <c r="E717" s="3" t="s">
        <v>139</v>
      </c>
      <c r="F717" s="3" t="s">
        <v>818</v>
      </c>
      <c r="G717" s="9">
        <v>459.96</v>
      </c>
      <c r="H717" s="10">
        <v>45669.676400462973</v>
      </c>
      <c r="I717" s="10">
        <v>45669.676400462973</v>
      </c>
      <c r="J717" s="10">
        <v>45669.677789351852</v>
      </c>
      <c r="K717" s="11">
        <v>1.3888888888888889E-3</v>
      </c>
      <c r="L717" s="13"/>
    </row>
    <row r="718" spans="1:12" x14ac:dyDescent="0.45">
      <c r="A718" s="3" t="s">
        <v>841</v>
      </c>
      <c r="B718" s="3" t="s">
        <v>1643</v>
      </c>
      <c r="C718" s="3" t="s">
        <v>791</v>
      </c>
      <c r="D718" s="9">
        <v>32</v>
      </c>
      <c r="E718" s="3" t="s">
        <v>139</v>
      </c>
      <c r="F718" s="3" t="s">
        <v>814</v>
      </c>
      <c r="G718" s="9">
        <v>450.42</v>
      </c>
      <c r="H718" s="10">
        <v>45669.677789351852</v>
      </c>
      <c r="I718" s="10">
        <v>45669.677789351852</v>
      </c>
      <c r="J718" s="10">
        <v>45669.679108796299</v>
      </c>
      <c r="K718" s="11">
        <v>1.3194444444444441E-3</v>
      </c>
      <c r="L718" s="13"/>
    </row>
    <row r="719" spans="1:12" x14ac:dyDescent="0.45">
      <c r="A719" s="3" t="s">
        <v>841</v>
      </c>
      <c r="B719" s="3" t="s">
        <v>1644</v>
      </c>
      <c r="C719" s="3" t="s">
        <v>794</v>
      </c>
      <c r="D719" s="9">
        <v>64</v>
      </c>
      <c r="E719" s="3" t="s">
        <v>139</v>
      </c>
      <c r="F719" s="3" t="s">
        <v>815</v>
      </c>
      <c r="G719" s="9">
        <v>405.43</v>
      </c>
      <c r="H719" s="10">
        <v>45669.679108796299</v>
      </c>
      <c r="I719" s="10">
        <v>45669.679108796299</v>
      </c>
      <c r="J719" s="10">
        <v>45669.680381944447</v>
      </c>
      <c r="K719" s="11">
        <v>1.273148148148148E-3</v>
      </c>
      <c r="L719" s="13"/>
    </row>
    <row r="720" spans="1:12" x14ac:dyDescent="0.45">
      <c r="A720" s="3" t="s">
        <v>841</v>
      </c>
      <c r="B720" s="3" t="s">
        <v>1645</v>
      </c>
      <c r="C720" s="3" t="s">
        <v>795</v>
      </c>
      <c r="D720" s="9">
        <v>48</v>
      </c>
      <c r="E720" s="3" t="s">
        <v>139</v>
      </c>
      <c r="F720" s="3" t="s">
        <v>814</v>
      </c>
      <c r="G720" s="9">
        <v>450.42</v>
      </c>
      <c r="H720" s="10">
        <v>45669.79928240741</v>
      </c>
      <c r="I720" s="10">
        <v>45669.79928240741</v>
      </c>
      <c r="J720" s="10">
        <v>45669.80064814815</v>
      </c>
      <c r="K720" s="11">
        <v>1.3657407407407409E-3</v>
      </c>
      <c r="L720" s="13"/>
    </row>
    <row r="721" spans="1:12" x14ac:dyDescent="0.45">
      <c r="A721" s="3" t="s">
        <v>841</v>
      </c>
      <c r="B721" s="3" t="s">
        <v>1646</v>
      </c>
      <c r="C721" s="3" t="s">
        <v>1647</v>
      </c>
      <c r="D721" s="9">
        <v>112</v>
      </c>
      <c r="E721" s="3" t="s">
        <v>139</v>
      </c>
      <c r="F721" s="3" t="s">
        <v>817</v>
      </c>
      <c r="G721" s="9">
        <v>477.75</v>
      </c>
      <c r="H721" s="10">
        <v>45669.80064814815</v>
      </c>
      <c r="I721" s="10">
        <v>45669.80064814815</v>
      </c>
      <c r="J721" s="10">
        <v>45669.802233796298</v>
      </c>
      <c r="K721" s="11">
        <v>1.5856481481481481E-3</v>
      </c>
      <c r="L721" s="13"/>
    </row>
    <row r="722" spans="1:12" x14ac:dyDescent="0.45">
      <c r="A722" s="3" t="s">
        <v>841</v>
      </c>
      <c r="B722" s="3" t="s">
        <v>1648</v>
      </c>
      <c r="C722" s="3" t="s">
        <v>1649</v>
      </c>
      <c r="D722" s="9">
        <v>224</v>
      </c>
      <c r="E722" s="3" t="s">
        <v>139</v>
      </c>
      <c r="F722" s="3" t="s">
        <v>814</v>
      </c>
      <c r="G722" s="9">
        <v>450.42</v>
      </c>
      <c r="H722" s="10">
        <v>45669.925636574073</v>
      </c>
      <c r="I722" s="10">
        <v>45669.925636574073</v>
      </c>
      <c r="J722" s="10">
        <v>45669.927407407413</v>
      </c>
      <c r="K722" s="11">
        <v>1.770833333333333E-3</v>
      </c>
      <c r="L722" s="13"/>
    </row>
    <row r="723" spans="1:12" x14ac:dyDescent="0.45">
      <c r="A723" s="3" t="s">
        <v>1650</v>
      </c>
      <c r="B723" s="3" t="s">
        <v>1651</v>
      </c>
      <c r="C723" s="3" t="s">
        <v>243</v>
      </c>
      <c r="D723" s="9">
        <v>64</v>
      </c>
      <c r="E723" s="3"/>
      <c r="F723" s="3"/>
      <c r="G723" s="9"/>
      <c r="H723" s="10">
        <v>45663.219502314823</v>
      </c>
      <c r="I723" s="10">
        <v>45663.220289351862</v>
      </c>
      <c r="J723" s="10">
        <v>45663.226215277777</v>
      </c>
      <c r="K723" s="11">
        <v>5.9259259259259256E-3</v>
      </c>
      <c r="L723" s="13"/>
    </row>
    <row r="724" spans="1:12" x14ac:dyDescent="0.45">
      <c r="A724" s="3" t="s">
        <v>1650</v>
      </c>
      <c r="B724" s="3" t="s">
        <v>1652</v>
      </c>
      <c r="C724" s="3" t="s">
        <v>246</v>
      </c>
      <c r="D724" s="9">
        <v>48</v>
      </c>
      <c r="E724" s="3"/>
      <c r="F724" s="3"/>
      <c r="G724" s="9"/>
      <c r="H724" s="10">
        <v>45663.220532407409</v>
      </c>
      <c r="I724" s="10">
        <v>45663.221296296288</v>
      </c>
      <c r="J724" s="10">
        <v>45663.225740740738</v>
      </c>
      <c r="K724" s="11">
        <v>4.4444444444444436E-3</v>
      </c>
      <c r="L724" s="13"/>
    </row>
    <row r="725" spans="1:12" x14ac:dyDescent="0.45">
      <c r="A725" s="3" t="s">
        <v>1650</v>
      </c>
      <c r="B725" s="3" t="s">
        <v>1653</v>
      </c>
      <c r="C725" s="3" t="s">
        <v>230</v>
      </c>
      <c r="D725" s="9">
        <v>32</v>
      </c>
      <c r="E725" s="3"/>
      <c r="F725" s="3"/>
      <c r="G725" s="9"/>
      <c r="H725" s="10">
        <v>45663.223761574067</v>
      </c>
      <c r="I725" s="10">
        <v>45663.224594907413</v>
      </c>
      <c r="J725" s="10">
        <v>45663.227858796286</v>
      </c>
      <c r="K725" s="11">
        <v>3.2638888888888891E-3</v>
      </c>
      <c r="L725" s="13"/>
    </row>
    <row r="726" spans="1:12" x14ac:dyDescent="0.45">
      <c r="A726" s="3" t="s">
        <v>1650</v>
      </c>
      <c r="B726" s="3" t="s">
        <v>1654</v>
      </c>
      <c r="C726" s="3" t="s">
        <v>236</v>
      </c>
      <c r="D726" s="9">
        <v>80</v>
      </c>
      <c r="E726" s="3"/>
      <c r="F726" s="3"/>
      <c r="G726" s="9"/>
      <c r="H726" s="10">
        <v>45663.225277777783</v>
      </c>
      <c r="I726" s="10">
        <v>45663.22729166667</v>
      </c>
      <c r="J726" s="10">
        <v>45663.234699074077</v>
      </c>
      <c r="K726" s="11">
        <v>7.4074074074074077E-3</v>
      </c>
      <c r="L726" s="13"/>
    </row>
    <row r="727" spans="1:12" x14ac:dyDescent="0.45">
      <c r="A727" s="3" t="s">
        <v>1650</v>
      </c>
      <c r="B727" s="3" t="s">
        <v>1655</v>
      </c>
      <c r="C727" s="3" t="s">
        <v>240</v>
      </c>
      <c r="D727" s="9">
        <v>32</v>
      </c>
      <c r="E727" s="3"/>
      <c r="F727" s="3"/>
      <c r="G727" s="9"/>
      <c r="H727" s="10">
        <v>45663.226469907408</v>
      </c>
      <c r="I727" s="10">
        <v>45663.227789351848</v>
      </c>
      <c r="J727" s="10">
        <v>45663.230752314812</v>
      </c>
      <c r="K727" s="11">
        <v>2.9629629629629628E-3</v>
      </c>
      <c r="L727" s="13"/>
    </row>
    <row r="728" spans="1:12" x14ac:dyDescent="0.45">
      <c r="A728" s="3" t="s">
        <v>1650</v>
      </c>
      <c r="B728" s="3" t="s">
        <v>1656</v>
      </c>
      <c r="C728" s="3" t="s">
        <v>254</v>
      </c>
      <c r="D728" s="9">
        <v>32</v>
      </c>
      <c r="E728" s="3"/>
      <c r="F728" s="3"/>
      <c r="G728" s="9"/>
      <c r="H728" s="10">
        <v>45663.321666666663</v>
      </c>
      <c r="I728" s="10">
        <v>45663.322465277779</v>
      </c>
      <c r="J728" s="10">
        <v>45663.325428240743</v>
      </c>
      <c r="K728" s="11">
        <v>2.9629629629629628E-3</v>
      </c>
      <c r="L728" s="13"/>
    </row>
    <row r="729" spans="1:12" x14ac:dyDescent="0.45">
      <c r="A729" s="3" t="s">
        <v>1650</v>
      </c>
      <c r="B729" s="3" t="s">
        <v>1657</v>
      </c>
      <c r="C729" s="3" t="s">
        <v>262</v>
      </c>
      <c r="D729" s="9">
        <v>32</v>
      </c>
      <c r="E729" s="3"/>
      <c r="F729" s="3"/>
      <c r="G729" s="9"/>
      <c r="H729" s="10">
        <v>45663.476574074077</v>
      </c>
      <c r="I729" s="10">
        <v>45663.477361111109</v>
      </c>
      <c r="J729" s="10">
        <v>45663.480324074073</v>
      </c>
      <c r="K729" s="11">
        <v>2.9629629629629628E-3</v>
      </c>
      <c r="L729" s="13"/>
    </row>
    <row r="730" spans="1:12" x14ac:dyDescent="0.45">
      <c r="A730" s="3" t="s">
        <v>1650</v>
      </c>
      <c r="B730" s="3" t="s">
        <v>1658</v>
      </c>
      <c r="C730" s="3" t="s">
        <v>282</v>
      </c>
      <c r="D730" s="9">
        <v>48</v>
      </c>
      <c r="E730" s="3"/>
      <c r="F730" s="3"/>
      <c r="G730" s="9"/>
      <c r="H730" s="10">
        <v>45664.268495370372</v>
      </c>
      <c r="I730" s="10">
        <v>45664.269363425927</v>
      </c>
      <c r="J730" s="10">
        <v>45664.274247685193</v>
      </c>
      <c r="K730" s="11">
        <v>4.8842592592592592E-3</v>
      </c>
      <c r="L730" s="13"/>
    </row>
    <row r="731" spans="1:12" x14ac:dyDescent="0.45">
      <c r="A731" s="3" t="s">
        <v>1650</v>
      </c>
      <c r="B731" s="3" t="s">
        <v>1659</v>
      </c>
      <c r="C731" s="3" t="s">
        <v>288</v>
      </c>
      <c r="D731" s="9">
        <v>80</v>
      </c>
      <c r="E731" s="3"/>
      <c r="F731" s="3"/>
      <c r="G731" s="9"/>
      <c r="H731" s="10">
        <v>45664.277731481481</v>
      </c>
      <c r="I731" s="10">
        <v>45664.278599537043</v>
      </c>
      <c r="J731" s="10">
        <v>45664.286747685182</v>
      </c>
      <c r="K731" s="11">
        <v>8.1481481481481474E-3</v>
      </c>
      <c r="L731" s="13"/>
    </row>
    <row r="732" spans="1:12" x14ac:dyDescent="0.45">
      <c r="A732" s="3" t="s">
        <v>1650</v>
      </c>
      <c r="B732" s="3" t="s">
        <v>1660</v>
      </c>
      <c r="C732" s="3" t="s">
        <v>291</v>
      </c>
      <c r="D732" s="9">
        <v>80</v>
      </c>
      <c r="E732" s="3"/>
      <c r="F732" s="3"/>
      <c r="G732" s="9"/>
      <c r="H732" s="10">
        <v>45664.279178240737</v>
      </c>
      <c r="I732" s="10">
        <v>45664.282789351862</v>
      </c>
      <c r="J732" s="10">
        <v>45664.290196759262</v>
      </c>
      <c r="K732" s="11">
        <v>7.4074074074074077E-3</v>
      </c>
      <c r="L732" s="13"/>
    </row>
    <row r="733" spans="1:12" x14ac:dyDescent="0.45">
      <c r="A733" s="3" t="s">
        <v>1650</v>
      </c>
      <c r="B733" s="3" t="s">
        <v>1661</v>
      </c>
      <c r="C733" s="3" t="s">
        <v>298</v>
      </c>
      <c r="D733" s="9">
        <v>32</v>
      </c>
      <c r="E733" s="3"/>
      <c r="F733" s="3"/>
      <c r="G733" s="9"/>
      <c r="H733" s="10">
        <v>45664.286377314813</v>
      </c>
      <c r="I733" s="10">
        <v>45664.29446759259</v>
      </c>
      <c r="J733" s="10">
        <v>45664.297430555547</v>
      </c>
      <c r="K733" s="11">
        <v>2.9629629629629628E-3</v>
      </c>
      <c r="L733" s="13"/>
    </row>
    <row r="734" spans="1:12" x14ac:dyDescent="0.45">
      <c r="A734" s="3" t="s">
        <v>1650</v>
      </c>
      <c r="B734" s="3" t="s">
        <v>1662</v>
      </c>
      <c r="C734" s="3" t="s">
        <v>301</v>
      </c>
      <c r="D734" s="9">
        <v>64</v>
      </c>
      <c r="E734" s="3"/>
      <c r="F734" s="3"/>
      <c r="G734" s="9"/>
      <c r="H734" s="10">
        <v>45664.287789351853</v>
      </c>
      <c r="I734" s="10">
        <v>45664.294560185182</v>
      </c>
      <c r="J734" s="10">
        <v>45664.301076388889</v>
      </c>
      <c r="K734" s="11">
        <v>6.5162037037037037E-3</v>
      </c>
      <c r="L734" s="13"/>
    </row>
    <row r="735" spans="1:12" x14ac:dyDescent="0.45">
      <c r="A735" s="3" t="s">
        <v>1650</v>
      </c>
      <c r="B735" s="3" t="s">
        <v>1663</v>
      </c>
      <c r="C735" s="3" t="s">
        <v>304</v>
      </c>
      <c r="D735" s="9">
        <v>32</v>
      </c>
      <c r="E735" s="3"/>
      <c r="F735" s="3"/>
      <c r="G735" s="9"/>
      <c r="H735" s="10">
        <v>45664.292685185188</v>
      </c>
      <c r="I735" s="10">
        <v>45664.297731481478</v>
      </c>
      <c r="J735" s="10">
        <v>45664.300694444442</v>
      </c>
      <c r="K735" s="11">
        <v>2.9629629629629628E-3</v>
      </c>
      <c r="L735" s="13"/>
    </row>
    <row r="736" spans="1:12" x14ac:dyDescent="0.45">
      <c r="A736" s="3" t="s">
        <v>1650</v>
      </c>
      <c r="B736" s="3" t="s">
        <v>1664</v>
      </c>
      <c r="C736" s="3" t="s">
        <v>319</v>
      </c>
      <c r="D736" s="9">
        <v>32</v>
      </c>
      <c r="E736" s="3"/>
      <c r="F736" s="3"/>
      <c r="G736" s="9"/>
      <c r="H736" s="10">
        <v>45664.549826388888</v>
      </c>
      <c r="I736" s="10">
        <v>45664.55060185185</v>
      </c>
      <c r="J736" s="10">
        <v>45664.553564814807</v>
      </c>
      <c r="K736" s="11">
        <v>2.9629629629629628E-3</v>
      </c>
      <c r="L736" s="13"/>
    </row>
    <row r="737" spans="1:12" x14ac:dyDescent="0.45">
      <c r="A737" s="3" t="s">
        <v>1650</v>
      </c>
      <c r="B737" s="3" t="s">
        <v>1665</v>
      </c>
      <c r="C737" s="3" t="s">
        <v>330</v>
      </c>
      <c r="D737" s="9">
        <v>32</v>
      </c>
      <c r="E737" s="3"/>
      <c r="F737" s="3"/>
      <c r="G737" s="9"/>
      <c r="H737" s="10">
        <v>45664.840150462973</v>
      </c>
      <c r="I737" s="10">
        <v>45664.84101851852</v>
      </c>
      <c r="J737" s="10">
        <v>45664.844282407408</v>
      </c>
      <c r="K737" s="11">
        <v>3.2638888888888891E-3</v>
      </c>
      <c r="L737" s="13"/>
    </row>
    <row r="738" spans="1:12" x14ac:dyDescent="0.45">
      <c r="A738" s="3" t="s">
        <v>1650</v>
      </c>
      <c r="B738" s="3" t="s">
        <v>1666</v>
      </c>
      <c r="C738" s="3" t="s">
        <v>333</v>
      </c>
      <c r="D738" s="9">
        <v>32</v>
      </c>
      <c r="E738" s="3"/>
      <c r="F738" s="3"/>
      <c r="G738" s="9"/>
      <c r="H738" s="10">
        <v>45664.841296296298</v>
      </c>
      <c r="I738" s="10">
        <v>45664.842141203713</v>
      </c>
      <c r="J738" s="10">
        <v>45664.845393518517</v>
      </c>
      <c r="K738" s="11">
        <v>3.2523148148148151E-3</v>
      </c>
      <c r="L738" s="13"/>
    </row>
    <row r="739" spans="1:12" x14ac:dyDescent="0.45">
      <c r="A739" s="3" t="s">
        <v>1650</v>
      </c>
      <c r="B739" s="3" t="s">
        <v>1667</v>
      </c>
      <c r="C739" s="3" t="s">
        <v>349</v>
      </c>
      <c r="D739" s="9">
        <v>32</v>
      </c>
      <c r="E739" s="3"/>
      <c r="F739" s="3"/>
      <c r="G739" s="9"/>
      <c r="H739" s="10">
        <v>45665.237361111111</v>
      </c>
      <c r="I739" s="10">
        <v>45665.238206018519</v>
      </c>
      <c r="J739" s="10">
        <v>45665.241469907407</v>
      </c>
      <c r="K739" s="11">
        <v>3.2638888888888891E-3</v>
      </c>
      <c r="L739" s="13"/>
    </row>
    <row r="740" spans="1:12" x14ac:dyDescent="0.45">
      <c r="A740" s="3" t="s">
        <v>1650</v>
      </c>
      <c r="B740" s="3" t="s">
        <v>1668</v>
      </c>
      <c r="C740" s="3" t="s">
        <v>353</v>
      </c>
      <c r="D740" s="9">
        <v>32</v>
      </c>
      <c r="E740" s="3"/>
      <c r="F740" s="3"/>
      <c r="G740" s="9"/>
      <c r="H740" s="10">
        <v>45665.238993055558</v>
      </c>
      <c r="I740" s="10">
        <v>45665.239861111113</v>
      </c>
      <c r="J740" s="10">
        <v>45665.243125000001</v>
      </c>
      <c r="K740" s="11">
        <v>3.2638888888888891E-3</v>
      </c>
      <c r="L740" s="13"/>
    </row>
    <row r="741" spans="1:12" x14ac:dyDescent="0.45">
      <c r="A741" s="3" t="s">
        <v>1650</v>
      </c>
      <c r="B741" s="3" t="s">
        <v>1669</v>
      </c>
      <c r="C741" s="3" t="s">
        <v>344</v>
      </c>
      <c r="D741" s="9">
        <v>32</v>
      </c>
      <c r="E741" s="3"/>
      <c r="F741" s="3"/>
      <c r="G741" s="9"/>
      <c r="H741" s="10">
        <v>45665.24119212963</v>
      </c>
      <c r="I741" s="10">
        <v>45665.242060185177</v>
      </c>
      <c r="J741" s="10">
        <v>45665.245324074072</v>
      </c>
      <c r="K741" s="11">
        <v>3.2638888888888891E-3</v>
      </c>
      <c r="L741" s="13"/>
    </row>
    <row r="742" spans="1:12" x14ac:dyDescent="0.45">
      <c r="A742" s="3" t="s">
        <v>1650</v>
      </c>
      <c r="B742" s="3" t="s">
        <v>1670</v>
      </c>
      <c r="C742" s="3" t="s">
        <v>357</v>
      </c>
      <c r="D742" s="9">
        <v>32</v>
      </c>
      <c r="E742" s="3"/>
      <c r="F742" s="3"/>
      <c r="G742" s="9"/>
      <c r="H742" s="10">
        <v>45665.383993055562</v>
      </c>
      <c r="I742" s="10">
        <v>45665.38486111111</v>
      </c>
      <c r="J742" s="10">
        <v>45665.388124999998</v>
      </c>
      <c r="K742" s="11">
        <v>3.2638888888888891E-3</v>
      </c>
      <c r="L742" s="13"/>
    </row>
    <row r="743" spans="1:12" x14ac:dyDescent="0.45">
      <c r="A743" s="3" t="s">
        <v>1650</v>
      </c>
      <c r="B743" s="3" t="s">
        <v>1671</v>
      </c>
      <c r="C743" s="3" t="s">
        <v>374</v>
      </c>
      <c r="D743" s="9">
        <v>32</v>
      </c>
      <c r="E743" s="3"/>
      <c r="F743" s="3"/>
      <c r="G743" s="9"/>
      <c r="H743" s="10">
        <v>45665.405949074076</v>
      </c>
      <c r="I743" s="10">
        <v>45665.406724537039</v>
      </c>
      <c r="J743" s="10">
        <v>45665.409687500003</v>
      </c>
      <c r="K743" s="11">
        <v>2.9629629629629628E-3</v>
      </c>
      <c r="L743" s="13"/>
    </row>
    <row r="744" spans="1:12" x14ac:dyDescent="0.45">
      <c r="A744" s="3" t="s">
        <v>1650</v>
      </c>
      <c r="B744" s="3" t="s">
        <v>1672</v>
      </c>
      <c r="C744" s="3" t="s">
        <v>377</v>
      </c>
      <c r="D744" s="9">
        <v>64</v>
      </c>
      <c r="E744" s="3"/>
      <c r="F744" s="3"/>
      <c r="G744" s="9"/>
      <c r="H744" s="10">
        <v>45665.407465277778</v>
      </c>
      <c r="I744" s="10">
        <v>45665.408333333333</v>
      </c>
      <c r="J744" s="10">
        <v>45665.414849537039</v>
      </c>
      <c r="K744" s="11">
        <v>6.5162037037037037E-3</v>
      </c>
      <c r="L744" s="13"/>
    </row>
    <row r="745" spans="1:12" x14ac:dyDescent="0.45">
      <c r="A745" s="3" t="s">
        <v>1650</v>
      </c>
      <c r="B745" s="3" t="s">
        <v>1673</v>
      </c>
      <c r="C745" s="3" t="s">
        <v>384</v>
      </c>
      <c r="D745" s="9">
        <v>80</v>
      </c>
      <c r="E745" s="3"/>
      <c r="F745" s="3"/>
      <c r="G745" s="9"/>
      <c r="H745" s="10">
        <v>45665.411874999998</v>
      </c>
      <c r="I745" s="10">
        <v>45665.421666666669</v>
      </c>
      <c r="J745" s="10">
        <v>45665.429074074083</v>
      </c>
      <c r="K745" s="11">
        <v>7.4074074074074077E-3</v>
      </c>
      <c r="L745" s="13"/>
    </row>
    <row r="746" spans="1:12" x14ac:dyDescent="0.45">
      <c r="A746" s="3" t="s">
        <v>1650</v>
      </c>
      <c r="B746" s="3" t="s">
        <v>1674</v>
      </c>
      <c r="C746" s="3" t="s">
        <v>397</v>
      </c>
      <c r="D746" s="9">
        <v>80</v>
      </c>
      <c r="E746" s="3"/>
      <c r="F746" s="3"/>
      <c r="G746" s="9"/>
      <c r="H746" s="10">
        <v>45665.432199074072</v>
      </c>
      <c r="I746" s="10">
        <v>45665.439872685187</v>
      </c>
      <c r="J746" s="10">
        <v>45665.447280092587</v>
      </c>
      <c r="K746" s="11">
        <v>7.4074074074074077E-3</v>
      </c>
      <c r="L746" s="13"/>
    </row>
    <row r="747" spans="1:12" x14ac:dyDescent="0.45">
      <c r="A747" s="3" t="s">
        <v>1650</v>
      </c>
      <c r="B747" s="3" t="s">
        <v>1675</v>
      </c>
      <c r="C747" s="3" t="s">
        <v>406</v>
      </c>
      <c r="D747" s="9">
        <v>64</v>
      </c>
      <c r="E747" s="3"/>
      <c r="F747" s="3"/>
      <c r="G747" s="9"/>
      <c r="H747" s="10">
        <v>45665.758020833331</v>
      </c>
      <c r="I747" s="10">
        <v>45665.75885416667</v>
      </c>
      <c r="J747" s="10">
        <v>45665.765370370369</v>
      </c>
      <c r="K747" s="11">
        <v>6.5162037037037037E-3</v>
      </c>
      <c r="L747" s="13"/>
    </row>
    <row r="748" spans="1:12" x14ac:dyDescent="0.45">
      <c r="A748" s="3" t="s">
        <v>1650</v>
      </c>
      <c r="B748" s="3" t="s">
        <v>1676</v>
      </c>
      <c r="C748" s="3" t="s">
        <v>411</v>
      </c>
      <c r="D748" s="9">
        <v>48</v>
      </c>
      <c r="E748" s="3"/>
      <c r="F748" s="3"/>
      <c r="G748" s="9"/>
      <c r="H748" s="10">
        <v>45665.906921296293</v>
      </c>
      <c r="I748" s="10">
        <v>45665.907754629632</v>
      </c>
      <c r="J748" s="10">
        <v>45665.912638888891</v>
      </c>
      <c r="K748" s="11">
        <v>4.8842592592592592E-3</v>
      </c>
      <c r="L748" s="13"/>
    </row>
    <row r="749" spans="1:12" x14ac:dyDescent="0.45">
      <c r="A749" s="3" t="s">
        <v>1650</v>
      </c>
      <c r="B749" s="3" t="s">
        <v>1677</v>
      </c>
      <c r="C749" s="3" t="s">
        <v>422</v>
      </c>
      <c r="D749" s="9">
        <v>48</v>
      </c>
      <c r="E749" s="3"/>
      <c r="F749" s="3"/>
      <c r="G749" s="9"/>
      <c r="H749" s="10">
        <v>45666.216562499998</v>
      </c>
      <c r="I749" s="10">
        <v>45666.217418981483</v>
      </c>
      <c r="J749" s="10">
        <v>45666.222303240742</v>
      </c>
      <c r="K749" s="11">
        <v>4.8842592592592592E-3</v>
      </c>
      <c r="L749" s="13"/>
    </row>
    <row r="750" spans="1:12" x14ac:dyDescent="0.45">
      <c r="A750" s="3" t="s">
        <v>1650</v>
      </c>
      <c r="B750" s="3" t="s">
        <v>1678</v>
      </c>
      <c r="C750" s="3" t="s">
        <v>427</v>
      </c>
      <c r="D750" s="9">
        <v>32</v>
      </c>
      <c r="E750" s="3"/>
      <c r="F750" s="3"/>
      <c r="G750" s="9"/>
      <c r="H750" s="10">
        <v>45666.217465277783</v>
      </c>
      <c r="I750" s="10">
        <v>45666.218252314808</v>
      </c>
      <c r="J750" s="10">
        <v>45666.221215277779</v>
      </c>
      <c r="K750" s="11">
        <v>2.9629629629629628E-3</v>
      </c>
      <c r="L750" s="13"/>
    </row>
    <row r="751" spans="1:12" x14ac:dyDescent="0.45">
      <c r="A751" s="3" t="s">
        <v>1650</v>
      </c>
      <c r="B751" s="3" t="s">
        <v>1679</v>
      </c>
      <c r="C751" s="3" t="s">
        <v>430</v>
      </c>
      <c r="D751" s="9">
        <v>48</v>
      </c>
      <c r="E751" s="3"/>
      <c r="F751" s="3"/>
      <c r="G751" s="9"/>
      <c r="H751" s="10">
        <v>45666.223877314813</v>
      </c>
      <c r="I751" s="10">
        <v>45666.224664351852</v>
      </c>
      <c r="J751" s="10">
        <v>45666.229108796288</v>
      </c>
      <c r="K751" s="11">
        <v>4.4444444444444436E-3</v>
      </c>
      <c r="L751" s="13"/>
    </row>
    <row r="752" spans="1:12" x14ac:dyDescent="0.45">
      <c r="A752" s="3" t="s">
        <v>1650</v>
      </c>
      <c r="B752" s="3" t="s">
        <v>1680</v>
      </c>
      <c r="C752" s="3" t="s">
        <v>439</v>
      </c>
      <c r="D752" s="9">
        <v>48</v>
      </c>
      <c r="E752" s="3"/>
      <c r="F752" s="3"/>
      <c r="G752" s="9"/>
      <c r="H752" s="10">
        <v>45666.237013888887</v>
      </c>
      <c r="I752" s="10">
        <v>45666.237881944442</v>
      </c>
      <c r="J752" s="10">
        <v>45666.242766203701</v>
      </c>
      <c r="K752" s="11">
        <v>4.8842592592592592E-3</v>
      </c>
      <c r="L752" s="13"/>
    </row>
    <row r="753" spans="1:12" x14ac:dyDescent="0.45">
      <c r="A753" s="3" t="s">
        <v>1650</v>
      </c>
      <c r="B753" s="3" t="s">
        <v>1681</v>
      </c>
      <c r="C753" s="3" t="s">
        <v>460</v>
      </c>
      <c r="D753" s="9">
        <v>32</v>
      </c>
      <c r="E753" s="3"/>
      <c r="F753" s="3"/>
      <c r="G753" s="9"/>
      <c r="H753" s="10">
        <v>45666.246157407397</v>
      </c>
      <c r="I753" s="10">
        <v>45666.252962962957</v>
      </c>
      <c r="J753" s="10">
        <v>45666.255925925929</v>
      </c>
      <c r="K753" s="11">
        <v>2.9629629629629628E-3</v>
      </c>
      <c r="L753" s="13"/>
    </row>
    <row r="754" spans="1:12" x14ac:dyDescent="0.45">
      <c r="A754" s="3" t="s">
        <v>1650</v>
      </c>
      <c r="B754" s="3" t="s">
        <v>1682</v>
      </c>
      <c r="C754" s="3" t="s">
        <v>467</v>
      </c>
      <c r="D754" s="9">
        <v>32</v>
      </c>
      <c r="E754" s="3"/>
      <c r="F754" s="3"/>
      <c r="G754" s="9"/>
      <c r="H754" s="10">
        <v>45666.24931712963</v>
      </c>
      <c r="I754" s="10">
        <v>45666.257465277777</v>
      </c>
      <c r="J754" s="10">
        <v>45666.260428240741</v>
      </c>
      <c r="K754" s="11">
        <v>2.9629629629629628E-3</v>
      </c>
      <c r="L754" s="13"/>
    </row>
    <row r="755" spans="1:12" x14ac:dyDescent="0.45">
      <c r="A755" s="3" t="s">
        <v>1650</v>
      </c>
      <c r="B755" s="3" t="s">
        <v>1683</v>
      </c>
      <c r="C755" s="3" t="s">
        <v>474</v>
      </c>
      <c r="D755" s="9">
        <v>80</v>
      </c>
      <c r="E755" s="3"/>
      <c r="F755" s="3"/>
      <c r="G755" s="9"/>
      <c r="H755" s="10">
        <v>45666.255925925929</v>
      </c>
      <c r="I755" s="10">
        <v>45666.261979166673</v>
      </c>
      <c r="J755" s="10">
        <v>45666.269386574073</v>
      </c>
      <c r="K755" s="11">
        <v>7.4074074074074077E-3</v>
      </c>
      <c r="L755" s="13"/>
    </row>
    <row r="756" spans="1:12" x14ac:dyDescent="0.45">
      <c r="A756" s="3" t="s">
        <v>1650</v>
      </c>
      <c r="B756" s="3" t="s">
        <v>1684</v>
      </c>
      <c r="C756" s="3" t="s">
        <v>477</v>
      </c>
      <c r="D756" s="9">
        <v>48</v>
      </c>
      <c r="E756" s="3"/>
      <c r="F756" s="3"/>
      <c r="G756" s="9"/>
      <c r="H756" s="10">
        <v>45666.257152777784</v>
      </c>
      <c r="I756" s="10">
        <v>45666.264988425923</v>
      </c>
      <c r="J756" s="10">
        <v>45666.269872685189</v>
      </c>
      <c r="K756" s="11">
        <v>4.8842592592592592E-3</v>
      </c>
      <c r="L756" s="13"/>
    </row>
    <row r="757" spans="1:12" x14ac:dyDescent="0.45">
      <c r="A757" s="3" t="s">
        <v>1650</v>
      </c>
      <c r="B757" s="3" t="s">
        <v>1685</v>
      </c>
      <c r="C757" s="3" t="s">
        <v>482</v>
      </c>
      <c r="D757" s="9">
        <v>64</v>
      </c>
      <c r="E757" s="3"/>
      <c r="F757" s="3"/>
      <c r="G757" s="9"/>
      <c r="H757" s="10">
        <v>45666.468043981477</v>
      </c>
      <c r="I757" s="10">
        <v>45666.468888888892</v>
      </c>
      <c r="J757" s="10">
        <v>45666.475416666668</v>
      </c>
      <c r="K757" s="11">
        <v>6.5277777777777782E-3</v>
      </c>
      <c r="L757" s="13"/>
    </row>
    <row r="758" spans="1:12" x14ac:dyDescent="0.45">
      <c r="A758" s="3" t="s">
        <v>1650</v>
      </c>
      <c r="B758" s="3" t="s">
        <v>1686</v>
      </c>
      <c r="C758" s="3" t="s">
        <v>489</v>
      </c>
      <c r="D758" s="9">
        <v>48</v>
      </c>
      <c r="E758" s="3"/>
      <c r="F758" s="3"/>
      <c r="G758" s="9"/>
      <c r="H758" s="10">
        <v>45666.468912037039</v>
      </c>
      <c r="I758" s="10">
        <v>45666.469780092593</v>
      </c>
      <c r="J758" s="10">
        <v>45666.474664351852</v>
      </c>
      <c r="K758" s="11">
        <v>4.8842592592592592E-3</v>
      </c>
      <c r="L758" s="13"/>
    </row>
    <row r="759" spans="1:12" x14ac:dyDescent="0.45">
      <c r="A759" s="3" t="s">
        <v>1650</v>
      </c>
      <c r="B759" s="3" t="s">
        <v>1687</v>
      </c>
      <c r="C759" s="3" t="s">
        <v>494</v>
      </c>
      <c r="D759" s="9">
        <v>32</v>
      </c>
      <c r="E759" s="3"/>
      <c r="F759" s="3"/>
      <c r="G759" s="9"/>
      <c r="H759" s="10">
        <v>45666.471504629633</v>
      </c>
      <c r="I759" s="10">
        <v>45666.472291666672</v>
      </c>
      <c r="J759" s="10">
        <v>45666.475254629629</v>
      </c>
      <c r="K759" s="11">
        <v>2.9629629629629628E-3</v>
      </c>
      <c r="L759" s="13"/>
    </row>
    <row r="760" spans="1:12" x14ac:dyDescent="0.45">
      <c r="A760" s="3" t="s">
        <v>1650</v>
      </c>
      <c r="B760" s="3" t="s">
        <v>1688</v>
      </c>
      <c r="C760" s="3" t="s">
        <v>501</v>
      </c>
      <c r="D760" s="9">
        <v>32</v>
      </c>
      <c r="E760" s="3"/>
      <c r="F760" s="3"/>
      <c r="G760" s="9"/>
      <c r="H760" s="10">
        <v>45666.552245370367</v>
      </c>
      <c r="I760" s="10">
        <v>45666.553113425929</v>
      </c>
      <c r="J760" s="10">
        <v>45666.556377314817</v>
      </c>
      <c r="K760" s="11">
        <v>3.2638888888888891E-3</v>
      </c>
      <c r="L760" s="13"/>
    </row>
    <row r="761" spans="1:12" x14ac:dyDescent="0.45">
      <c r="A761" s="3" t="s">
        <v>1650</v>
      </c>
      <c r="B761" s="3" t="s">
        <v>1689</v>
      </c>
      <c r="C761" s="3" t="s">
        <v>506</v>
      </c>
      <c r="D761" s="9">
        <v>80</v>
      </c>
      <c r="E761" s="3"/>
      <c r="F761" s="3"/>
      <c r="G761" s="9"/>
      <c r="H761" s="10">
        <v>45666.554062499999</v>
      </c>
      <c r="I761" s="10">
        <v>45666.554895833331</v>
      </c>
      <c r="J761" s="10">
        <v>45666.563043981478</v>
      </c>
      <c r="K761" s="11">
        <v>8.1481481481481474E-3</v>
      </c>
      <c r="L761" s="13"/>
    </row>
    <row r="762" spans="1:12" x14ac:dyDescent="0.45">
      <c r="A762" s="3" t="s">
        <v>1650</v>
      </c>
      <c r="B762" s="3" t="s">
        <v>1690</v>
      </c>
      <c r="C762" s="3" t="s">
        <v>521</v>
      </c>
      <c r="D762" s="9">
        <v>32</v>
      </c>
      <c r="E762" s="3"/>
      <c r="F762" s="3"/>
      <c r="G762" s="9"/>
      <c r="H762" s="10">
        <v>45666.566840277781</v>
      </c>
      <c r="I762" s="10">
        <v>45666.567604166667</v>
      </c>
      <c r="J762" s="10">
        <v>45666.570567129631</v>
      </c>
      <c r="K762" s="11">
        <v>2.9629629629629628E-3</v>
      </c>
      <c r="L762" s="13"/>
    </row>
    <row r="763" spans="1:12" x14ac:dyDescent="0.45">
      <c r="A763" s="3" t="s">
        <v>1650</v>
      </c>
      <c r="B763" s="3" t="s">
        <v>1691</v>
      </c>
      <c r="C763" s="3" t="s">
        <v>526</v>
      </c>
      <c r="D763" s="9">
        <v>80</v>
      </c>
      <c r="E763" s="3"/>
      <c r="F763" s="3"/>
      <c r="G763" s="9"/>
      <c r="H763" s="10">
        <v>45666.578611111108</v>
      </c>
      <c r="I763" s="10">
        <v>45666.60392361111</v>
      </c>
      <c r="J763" s="10">
        <v>45666.611331018517</v>
      </c>
      <c r="K763" s="11">
        <v>7.4074074074074077E-3</v>
      </c>
      <c r="L763" s="13"/>
    </row>
    <row r="764" spans="1:12" x14ac:dyDescent="0.45">
      <c r="A764" s="3" t="s">
        <v>1650</v>
      </c>
      <c r="B764" s="3" t="s">
        <v>1692</v>
      </c>
      <c r="C764" s="3" t="s">
        <v>529</v>
      </c>
      <c r="D764" s="9">
        <v>80</v>
      </c>
      <c r="E764" s="3"/>
      <c r="F764" s="3"/>
      <c r="G764" s="9"/>
      <c r="H764" s="10">
        <v>45666.579930555563</v>
      </c>
      <c r="I764" s="10">
        <v>45666.604074074072</v>
      </c>
      <c r="J764" s="10">
        <v>45666.612222222233</v>
      </c>
      <c r="K764" s="11">
        <v>8.1481481481481474E-3</v>
      </c>
      <c r="L764" s="13"/>
    </row>
    <row r="765" spans="1:12" x14ac:dyDescent="0.45">
      <c r="A765" s="3" t="s">
        <v>1650</v>
      </c>
      <c r="B765" s="3" t="s">
        <v>1693</v>
      </c>
      <c r="C765" s="3" t="s">
        <v>534</v>
      </c>
      <c r="D765" s="9">
        <v>80</v>
      </c>
      <c r="E765" s="3"/>
      <c r="F765" s="3"/>
      <c r="G765" s="9"/>
      <c r="H765" s="10">
        <v>45666.588472222233</v>
      </c>
      <c r="I765" s="10">
        <v>45666.60428240741</v>
      </c>
      <c r="J765" s="10">
        <v>45666.611689814818</v>
      </c>
      <c r="K765" s="11">
        <v>7.4074074074074077E-3</v>
      </c>
      <c r="L765" s="13"/>
    </row>
    <row r="766" spans="1:12" x14ac:dyDescent="0.45">
      <c r="A766" s="3" t="s">
        <v>1650</v>
      </c>
      <c r="B766" s="3" t="s">
        <v>1694</v>
      </c>
      <c r="C766" s="3" t="s">
        <v>541</v>
      </c>
      <c r="D766" s="9">
        <v>80</v>
      </c>
      <c r="E766" s="3"/>
      <c r="F766" s="3"/>
      <c r="G766" s="9"/>
      <c r="H766" s="10">
        <v>45666.800451388888</v>
      </c>
      <c r="I766" s="10">
        <v>45666.801319444443</v>
      </c>
      <c r="J766" s="10">
        <v>45666.809467592589</v>
      </c>
      <c r="K766" s="11">
        <v>8.1481481481481474E-3</v>
      </c>
      <c r="L766" s="13"/>
    </row>
    <row r="767" spans="1:12" x14ac:dyDescent="0.45">
      <c r="A767" s="3" t="s">
        <v>1650</v>
      </c>
      <c r="B767" s="3" t="s">
        <v>1695</v>
      </c>
      <c r="C767" s="3" t="s">
        <v>546</v>
      </c>
      <c r="D767" s="9">
        <v>48</v>
      </c>
      <c r="E767" s="3"/>
      <c r="F767" s="3"/>
      <c r="G767" s="9"/>
      <c r="H767" s="10">
        <v>45666.809155092589</v>
      </c>
      <c r="I767" s="10">
        <v>45666.810023148151</v>
      </c>
      <c r="J767" s="10">
        <v>45666.81490740741</v>
      </c>
      <c r="K767" s="11">
        <v>4.8842592592592592E-3</v>
      </c>
      <c r="L767" s="13"/>
    </row>
    <row r="768" spans="1:12" x14ac:dyDescent="0.45">
      <c r="A768" s="3" t="s">
        <v>1650</v>
      </c>
      <c r="B768" s="3" t="s">
        <v>1696</v>
      </c>
      <c r="C768" s="3" t="s">
        <v>551</v>
      </c>
      <c r="D768" s="9">
        <v>64</v>
      </c>
      <c r="E768" s="3"/>
      <c r="F768" s="3"/>
      <c r="G768" s="9"/>
      <c r="H768" s="10">
        <v>45666.810682870368</v>
      </c>
      <c r="I768" s="10">
        <v>45666.811550925922</v>
      </c>
      <c r="J768" s="10">
        <v>45666.818067129629</v>
      </c>
      <c r="K768" s="11">
        <v>6.5162037037037037E-3</v>
      </c>
      <c r="L768" s="13"/>
    </row>
    <row r="769" spans="1:12" x14ac:dyDescent="0.45">
      <c r="A769" s="3" t="s">
        <v>1650</v>
      </c>
      <c r="B769" s="3" t="s">
        <v>1697</v>
      </c>
      <c r="C769" s="3" t="s">
        <v>566</v>
      </c>
      <c r="D769" s="9">
        <v>32</v>
      </c>
      <c r="E769" s="3"/>
      <c r="F769" s="3"/>
      <c r="G769" s="9"/>
      <c r="H769" s="10">
        <v>45667.303877314807</v>
      </c>
      <c r="I769" s="10">
        <v>45667.304745370369</v>
      </c>
      <c r="J769" s="10">
        <v>45667.307997685188</v>
      </c>
      <c r="K769" s="11">
        <v>3.2523148148148151E-3</v>
      </c>
      <c r="L769" s="13"/>
    </row>
    <row r="770" spans="1:12" x14ac:dyDescent="0.45">
      <c r="A770" s="3" t="s">
        <v>1650</v>
      </c>
      <c r="B770" s="3" t="s">
        <v>1698</v>
      </c>
      <c r="C770" s="3" t="s">
        <v>569</v>
      </c>
      <c r="D770" s="9">
        <v>48</v>
      </c>
      <c r="E770" s="3"/>
      <c r="F770" s="3"/>
      <c r="G770" s="9"/>
      <c r="H770" s="10">
        <v>45667.304814814823</v>
      </c>
      <c r="I770" s="10">
        <v>45667.305659722217</v>
      </c>
      <c r="J770" s="10">
        <v>45667.310543981483</v>
      </c>
      <c r="K770" s="11">
        <v>4.8842592592592592E-3</v>
      </c>
      <c r="L770" s="13"/>
    </row>
    <row r="771" spans="1:12" x14ac:dyDescent="0.45">
      <c r="A771" s="3" t="s">
        <v>1650</v>
      </c>
      <c r="B771" s="3" t="s">
        <v>1699</v>
      </c>
      <c r="C771" s="3" t="s">
        <v>576</v>
      </c>
      <c r="D771" s="9">
        <v>64</v>
      </c>
      <c r="E771" s="3"/>
      <c r="F771" s="3"/>
      <c r="G771" s="9"/>
      <c r="H771" s="10">
        <v>45667.326840277783</v>
      </c>
      <c r="I771" s="10">
        <v>45667.327708333331</v>
      </c>
      <c r="J771" s="10">
        <v>45667.334236111114</v>
      </c>
      <c r="K771" s="11">
        <v>6.5277777777777782E-3</v>
      </c>
      <c r="L771" s="13"/>
    </row>
    <row r="772" spans="1:12" x14ac:dyDescent="0.45">
      <c r="A772" s="3" t="s">
        <v>1650</v>
      </c>
      <c r="B772" s="3" t="s">
        <v>1700</v>
      </c>
      <c r="C772" s="3" t="s">
        <v>579</v>
      </c>
      <c r="D772" s="9">
        <v>32</v>
      </c>
      <c r="E772" s="3"/>
      <c r="F772" s="3"/>
      <c r="G772" s="9"/>
      <c r="H772" s="10">
        <v>45667.328067129631</v>
      </c>
      <c r="I772" s="10">
        <v>45667.328935185193</v>
      </c>
      <c r="J772" s="10">
        <v>45667.332187499997</v>
      </c>
      <c r="K772" s="11">
        <v>3.2523148148148151E-3</v>
      </c>
      <c r="L772" s="13"/>
    </row>
    <row r="773" spans="1:12" x14ac:dyDescent="0.45">
      <c r="A773" s="3" t="s">
        <v>1650</v>
      </c>
      <c r="B773" s="3" t="s">
        <v>1701</v>
      </c>
      <c r="C773" s="3" t="s">
        <v>590</v>
      </c>
      <c r="D773" s="9">
        <v>64</v>
      </c>
      <c r="E773" s="3"/>
      <c r="F773" s="3"/>
      <c r="G773" s="9"/>
      <c r="H773" s="10">
        <v>45667.389976851853</v>
      </c>
      <c r="I773" s="10">
        <v>45667.390821759262</v>
      </c>
      <c r="J773" s="10">
        <v>45667.397337962961</v>
      </c>
      <c r="K773" s="11">
        <v>6.5162037037037037E-3</v>
      </c>
      <c r="L773" s="13"/>
    </row>
    <row r="774" spans="1:12" x14ac:dyDescent="0.45">
      <c r="A774" s="3" t="s">
        <v>1650</v>
      </c>
      <c r="B774" s="3" t="s">
        <v>1702</v>
      </c>
      <c r="C774" s="3" t="s">
        <v>593</v>
      </c>
      <c r="D774" s="9">
        <v>48</v>
      </c>
      <c r="E774" s="3"/>
      <c r="F774" s="3"/>
      <c r="G774" s="9"/>
      <c r="H774" s="10">
        <v>45667.391365740739</v>
      </c>
      <c r="I774" s="10">
        <v>45667.392233796287</v>
      </c>
      <c r="J774" s="10">
        <v>45667.397118055553</v>
      </c>
      <c r="K774" s="11">
        <v>4.8842592592592592E-3</v>
      </c>
      <c r="L774" s="13"/>
    </row>
    <row r="775" spans="1:12" x14ac:dyDescent="0.45">
      <c r="A775" s="3" t="s">
        <v>1650</v>
      </c>
      <c r="B775" s="3" t="s">
        <v>1703</v>
      </c>
      <c r="C775" s="3" t="s">
        <v>596</v>
      </c>
      <c r="D775" s="9">
        <v>48</v>
      </c>
      <c r="E775" s="3"/>
      <c r="F775" s="3"/>
      <c r="G775" s="9"/>
      <c r="H775" s="10">
        <v>45667.554062499999</v>
      </c>
      <c r="I775" s="10">
        <v>45667.554907407408</v>
      </c>
      <c r="J775" s="10">
        <v>45667.559791666667</v>
      </c>
      <c r="K775" s="11">
        <v>4.8842592592592592E-3</v>
      </c>
      <c r="L775" s="13"/>
    </row>
    <row r="776" spans="1:12" x14ac:dyDescent="0.45">
      <c r="A776" s="3" t="s">
        <v>1650</v>
      </c>
      <c r="B776" s="3" t="s">
        <v>1704</v>
      </c>
      <c r="C776" s="3" t="s">
        <v>605</v>
      </c>
      <c r="D776" s="9">
        <v>32</v>
      </c>
      <c r="E776" s="3"/>
      <c r="F776" s="3"/>
      <c r="G776" s="9"/>
      <c r="H776" s="10">
        <v>45667.556655092587</v>
      </c>
      <c r="I776" s="10">
        <v>45667.557430555556</v>
      </c>
      <c r="J776" s="10">
        <v>45667.560393518521</v>
      </c>
      <c r="K776" s="11">
        <v>2.9629629629629628E-3</v>
      </c>
      <c r="L776" s="13"/>
    </row>
    <row r="777" spans="1:12" x14ac:dyDescent="0.45">
      <c r="A777" s="3" t="s">
        <v>1650</v>
      </c>
      <c r="B777" s="3" t="s">
        <v>1705</v>
      </c>
      <c r="C777" s="3" t="s">
        <v>618</v>
      </c>
      <c r="D777" s="9">
        <v>32</v>
      </c>
      <c r="E777" s="3"/>
      <c r="F777" s="3"/>
      <c r="G777" s="9"/>
      <c r="H777" s="10">
        <v>45667.637314814812</v>
      </c>
      <c r="I777" s="10">
        <v>45667.638182870367</v>
      </c>
      <c r="J777" s="10">
        <v>45667.641446759262</v>
      </c>
      <c r="K777" s="11">
        <v>3.2638888888888891E-3</v>
      </c>
      <c r="L777" s="13"/>
    </row>
    <row r="778" spans="1:12" x14ac:dyDescent="0.45">
      <c r="A778" s="3" t="s">
        <v>1650</v>
      </c>
      <c r="B778" s="3" t="s">
        <v>1706</v>
      </c>
      <c r="C778" s="3" t="s">
        <v>623</v>
      </c>
      <c r="D778" s="9">
        <v>48</v>
      </c>
      <c r="E778" s="3"/>
      <c r="F778" s="3"/>
      <c r="G778" s="9"/>
      <c r="H778" s="10">
        <v>45667.639884259261</v>
      </c>
      <c r="I778" s="10">
        <v>45667.640729166669</v>
      </c>
      <c r="J778" s="10">
        <v>45667.645613425928</v>
      </c>
      <c r="K778" s="11">
        <v>4.8842592592592592E-3</v>
      </c>
      <c r="L778" s="13"/>
    </row>
    <row r="779" spans="1:12" x14ac:dyDescent="0.45">
      <c r="A779" s="3" t="s">
        <v>1650</v>
      </c>
      <c r="B779" s="3" t="s">
        <v>1707</v>
      </c>
      <c r="C779" s="3" t="s">
        <v>628</v>
      </c>
      <c r="D779" s="9">
        <v>32</v>
      </c>
      <c r="E779" s="3"/>
      <c r="F779" s="3"/>
      <c r="G779" s="9"/>
      <c r="H779" s="10">
        <v>45667.662719907406</v>
      </c>
      <c r="I779" s="10">
        <v>45667.663518518522</v>
      </c>
      <c r="J779" s="10">
        <v>45667.666481481479</v>
      </c>
      <c r="K779" s="11">
        <v>2.9629629629629628E-3</v>
      </c>
      <c r="L779" s="13"/>
    </row>
    <row r="780" spans="1:12" x14ac:dyDescent="0.45">
      <c r="A780" s="3" t="s">
        <v>1650</v>
      </c>
      <c r="B780" s="3" t="s">
        <v>1708</v>
      </c>
      <c r="C780" s="3" t="s">
        <v>641</v>
      </c>
      <c r="D780" s="9">
        <v>48</v>
      </c>
      <c r="E780" s="3"/>
      <c r="F780" s="3"/>
      <c r="G780" s="9"/>
      <c r="H780" s="10">
        <v>45667.713969907411</v>
      </c>
      <c r="I780" s="10">
        <v>45667.714837962973</v>
      </c>
      <c r="J780" s="10">
        <v>45667.719722222217</v>
      </c>
      <c r="K780" s="11">
        <v>4.8842592592592592E-3</v>
      </c>
      <c r="L780" s="13"/>
    </row>
    <row r="781" spans="1:12" x14ac:dyDescent="0.45">
      <c r="A781" s="3" t="s">
        <v>1650</v>
      </c>
      <c r="B781" s="3" t="s">
        <v>1709</v>
      </c>
      <c r="C781" s="3" t="s">
        <v>648</v>
      </c>
      <c r="D781" s="9">
        <v>48</v>
      </c>
      <c r="E781" s="3"/>
      <c r="F781" s="3"/>
      <c r="G781" s="9"/>
      <c r="H781" s="10">
        <v>45667.842523148152</v>
      </c>
      <c r="I781" s="10">
        <v>45667.843368055554</v>
      </c>
      <c r="J781" s="10">
        <v>45667.848252314812</v>
      </c>
      <c r="K781" s="11">
        <v>4.8842592592592592E-3</v>
      </c>
      <c r="L781" s="13"/>
    </row>
    <row r="782" spans="1:12" x14ac:dyDescent="0.45">
      <c r="A782" s="3" t="s">
        <v>1650</v>
      </c>
      <c r="B782" s="3" t="s">
        <v>1710</v>
      </c>
      <c r="C782" s="3" t="s">
        <v>653</v>
      </c>
      <c r="D782" s="9">
        <v>48</v>
      </c>
      <c r="E782" s="3"/>
      <c r="F782" s="3"/>
      <c r="G782" s="9"/>
      <c r="H782" s="10">
        <v>45667.843761574077</v>
      </c>
      <c r="I782" s="10">
        <v>45667.844629629632</v>
      </c>
      <c r="J782" s="10">
        <v>45667.84951388889</v>
      </c>
      <c r="K782" s="11">
        <v>4.8842592592592592E-3</v>
      </c>
      <c r="L782" s="13"/>
    </row>
    <row r="783" spans="1:12" x14ac:dyDescent="0.45">
      <c r="A783" s="3" t="s">
        <v>1650</v>
      </c>
      <c r="B783" s="3" t="s">
        <v>1711</v>
      </c>
      <c r="C783" s="3" t="s">
        <v>656</v>
      </c>
      <c r="D783" s="9">
        <v>32</v>
      </c>
      <c r="E783" s="3"/>
      <c r="F783" s="3"/>
      <c r="G783" s="9"/>
      <c r="H783" s="10">
        <v>45667.94667824074</v>
      </c>
      <c r="I783" s="10">
        <v>45667.947546296287</v>
      </c>
      <c r="J783" s="10">
        <v>45667.950810185182</v>
      </c>
      <c r="K783" s="11">
        <v>3.2638888888888891E-3</v>
      </c>
      <c r="L783" s="13"/>
    </row>
    <row r="784" spans="1:12" x14ac:dyDescent="0.45">
      <c r="A784" s="3" t="s">
        <v>1650</v>
      </c>
      <c r="B784" s="3" t="s">
        <v>1712</v>
      </c>
      <c r="C784" s="3" t="s">
        <v>659</v>
      </c>
      <c r="D784" s="9">
        <v>32</v>
      </c>
      <c r="E784" s="3"/>
      <c r="F784" s="3"/>
      <c r="G784" s="9"/>
      <c r="H784" s="10">
        <v>45667.94803240741</v>
      </c>
      <c r="I784" s="10">
        <v>45667.948900462958</v>
      </c>
      <c r="J784" s="10">
        <v>45667.952152777783</v>
      </c>
      <c r="K784" s="11">
        <v>3.2523148148148151E-3</v>
      </c>
      <c r="L784" s="13"/>
    </row>
    <row r="785" spans="1:12" x14ac:dyDescent="0.45">
      <c r="A785" s="3" t="s">
        <v>1650</v>
      </c>
      <c r="B785" s="3" t="s">
        <v>1713</v>
      </c>
      <c r="C785" s="3" t="s">
        <v>670</v>
      </c>
      <c r="D785" s="9">
        <v>32</v>
      </c>
      <c r="E785" s="3"/>
      <c r="F785" s="3"/>
      <c r="G785" s="9"/>
      <c r="H785" s="10">
        <v>45668.269953703697</v>
      </c>
      <c r="I785" s="10">
        <v>45668.270821759259</v>
      </c>
      <c r="J785" s="10">
        <v>45668.274074074077</v>
      </c>
      <c r="K785" s="11">
        <v>3.2523148148148151E-3</v>
      </c>
      <c r="L785" s="13"/>
    </row>
    <row r="786" spans="1:12" x14ac:dyDescent="0.45">
      <c r="A786" s="3" t="s">
        <v>1650</v>
      </c>
      <c r="B786" s="3" t="s">
        <v>1714</v>
      </c>
      <c r="C786" s="3" t="s">
        <v>673</v>
      </c>
      <c r="D786" s="9">
        <v>48</v>
      </c>
      <c r="E786" s="3"/>
      <c r="F786" s="3"/>
      <c r="G786" s="9"/>
      <c r="H786" s="10">
        <v>45668.271111111113</v>
      </c>
      <c r="I786" s="10">
        <v>45668.271898148138</v>
      </c>
      <c r="J786" s="10">
        <v>45668.276342592602</v>
      </c>
      <c r="K786" s="11">
        <v>4.4444444444444436E-3</v>
      </c>
      <c r="L786" s="13"/>
    </row>
    <row r="787" spans="1:12" x14ac:dyDescent="0.45">
      <c r="A787" s="3" t="s">
        <v>1650</v>
      </c>
      <c r="B787" s="3" t="s">
        <v>1715</v>
      </c>
      <c r="C787" s="3" t="s">
        <v>692</v>
      </c>
      <c r="D787" s="9">
        <v>48</v>
      </c>
      <c r="E787" s="3"/>
      <c r="F787" s="3"/>
      <c r="G787" s="9"/>
      <c r="H787" s="10">
        <v>45668.315671296303</v>
      </c>
      <c r="I787" s="10">
        <v>45668.320243055547</v>
      </c>
      <c r="J787" s="10">
        <v>45668.324687499997</v>
      </c>
      <c r="K787" s="11">
        <v>4.4444444444444436E-3</v>
      </c>
      <c r="L787" s="13"/>
    </row>
    <row r="788" spans="1:12" x14ac:dyDescent="0.45">
      <c r="A788" s="3" t="s">
        <v>1650</v>
      </c>
      <c r="B788" s="3" t="s">
        <v>1716</v>
      </c>
      <c r="C788" s="3" t="s">
        <v>695</v>
      </c>
      <c r="D788" s="9">
        <v>80</v>
      </c>
      <c r="E788" s="3"/>
      <c r="F788" s="3"/>
      <c r="G788" s="9"/>
      <c r="H788" s="10">
        <v>45668.508518518523</v>
      </c>
      <c r="I788" s="10">
        <v>45668.509386574071</v>
      </c>
      <c r="J788" s="10">
        <v>45668.517534722218</v>
      </c>
      <c r="K788" s="11">
        <v>8.1481481481481474E-3</v>
      </c>
      <c r="L788" s="13"/>
    </row>
    <row r="789" spans="1:12" x14ac:dyDescent="0.45">
      <c r="A789" s="3" t="s">
        <v>1650</v>
      </c>
      <c r="B789" s="3" t="s">
        <v>1717</v>
      </c>
      <c r="C789" s="3" t="s">
        <v>714</v>
      </c>
      <c r="D789" s="9">
        <v>48</v>
      </c>
      <c r="E789" s="3"/>
      <c r="F789" s="3"/>
      <c r="G789" s="9"/>
      <c r="H789" s="10">
        <v>45668.538101851853</v>
      </c>
      <c r="I789" s="10">
        <v>45668.539907407408</v>
      </c>
      <c r="J789" s="10">
        <v>45668.544803240737</v>
      </c>
      <c r="K789" s="11">
        <v>4.8958333333333336E-3</v>
      </c>
      <c r="L789" s="13"/>
    </row>
    <row r="790" spans="1:12" x14ac:dyDescent="0.45">
      <c r="A790" s="3" t="s">
        <v>1650</v>
      </c>
      <c r="B790" s="3" t="s">
        <v>1718</v>
      </c>
      <c r="C790" s="3" t="s">
        <v>717</v>
      </c>
      <c r="D790" s="9">
        <v>48</v>
      </c>
      <c r="E790" s="3"/>
      <c r="F790" s="3"/>
      <c r="G790" s="9"/>
      <c r="H790" s="10">
        <v>45668.548645833333</v>
      </c>
      <c r="I790" s="10">
        <v>45668.565104166657</v>
      </c>
      <c r="J790" s="10">
        <v>45668.569988425923</v>
      </c>
      <c r="K790" s="11">
        <v>4.8842592592592592E-3</v>
      </c>
      <c r="L790" s="13"/>
    </row>
    <row r="791" spans="1:12" x14ac:dyDescent="0.45">
      <c r="A791" s="3" t="s">
        <v>1650</v>
      </c>
      <c r="B791" s="3" t="s">
        <v>1719</v>
      </c>
      <c r="C791" s="3" t="s">
        <v>722</v>
      </c>
      <c r="D791" s="9">
        <v>32</v>
      </c>
      <c r="E791" s="3"/>
      <c r="F791" s="3"/>
      <c r="G791" s="9"/>
      <c r="H791" s="10">
        <v>45668.549756944441</v>
      </c>
      <c r="I791" s="10">
        <v>45668.565104166657</v>
      </c>
      <c r="J791" s="10">
        <v>45668.568356481483</v>
      </c>
      <c r="K791" s="11">
        <v>3.2523148148148151E-3</v>
      </c>
      <c r="L791" s="13"/>
    </row>
    <row r="792" spans="1:12" x14ac:dyDescent="0.45">
      <c r="A792" s="3" t="s">
        <v>1650</v>
      </c>
      <c r="B792" s="3" t="s">
        <v>1720</v>
      </c>
      <c r="C792" s="3" t="s">
        <v>727</v>
      </c>
      <c r="D792" s="9">
        <v>48</v>
      </c>
      <c r="E792" s="3"/>
      <c r="F792" s="3"/>
      <c r="G792" s="9"/>
      <c r="H792" s="10">
        <v>45668.553020833337</v>
      </c>
      <c r="I792" s="10">
        <v>45668.570092592592</v>
      </c>
      <c r="J792" s="10">
        <v>45668.574988425928</v>
      </c>
      <c r="K792" s="11">
        <v>4.8958333333333336E-3</v>
      </c>
      <c r="L792" s="13"/>
    </row>
    <row r="793" spans="1:12" x14ac:dyDescent="0.45">
      <c r="A793" s="3" t="s">
        <v>1650</v>
      </c>
      <c r="B793" s="3" t="s">
        <v>1721</v>
      </c>
      <c r="C793" s="3" t="s">
        <v>730</v>
      </c>
      <c r="D793" s="9">
        <v>48</v>
      </c>
      <c r="E793" s="3"/>
      <c r="F793" s="3"/>
      <c r="G793" s="9"/>
      <c r="H793" s="10">
        <v>45668.554097222222</v>
      </c>
      <c r="I793" s="10">
        <v>45668.571215277778</v>
      </c>
      <c r="J793" s="10">
        <v>45668.575659722221</v>
      </c>
      <c r="K793" s="11">
        <v>4.4444444444444436E-3</v>
      </c>
      <c r="L793" s="13"/>
    </row>
    <row r="794" spans="1:12" x14ac:dyDescent="0.45">
      <c r="A794" s="3" t="s">
        <v>1650</v>
      </c>
      <c r="B794" s="3" t="s">
        <v>1722</v>
      </c>
      <c r="C794" s="3" t="s">
        <v>735</v>
      </c>
      <c r="D794" s="9">
        <v>48</v>
      </c>
      <c r="E794" s="3"/>
      <c r="F794" s="3"/>
      <c r="G794" s="9"/>
      <c r="H794" s="10">
        <v>45668.758564814823</v>
      </c>
      <c r="I794" s="10">
        <v>45668.759328703702</v>
      </c>
      <c r="J794" s="10">
        <v>45668.763773148137</v>
      </c>
      <c r="K794" s="11">
        <v>4.4444444444444436E-3</v>
      </c>
      <c r="L794" s="13"/>
    </row>
    <row r="795" spans="1:12" x14ac:dyDescent="0.45">
      <c r="A795" s="3" t="s">
        <v>1650</v>
      </c>
      <c r="B795" s="3" t="s">
        <v>1723</v>
      </c>
      <c r="C795" s="3" t="s">
        <v>746</v>
      </c>
      <c r="D795" s="9">
        <v>80</v>
      </c>
      <c r="E795" s="3"/>
      <c r="F795" s="3"/>
      <c r="G795" s="9"/>
      <c r="H795" s="10">
        <v>45668.892453703702</v>
      </c>
      <c r="I795" s="10">
        <v>45668.89329861111</v>
      </c>
      <c r="J795" s="10">
        <v>45668.901446759257</v>
      </c>
      <c r="K795" s="11">
        <v>8.1481481481481474E-3</v>
      </c>
      <c r="L795" s="13"/>
    </row>
    <row r="796" spans="1:12" x14ac:dyDescent="0.45">
      <c r="A796" s="3" t="s">
        <v>1650</v>
      </c>
      <c r="B796" s="3" t="s">
        <v>1724</v>
      </c>
      <c r="C796" s="3" t="s">
        <v>749</v>
      </c>
      <c r="D796" s="9">
        <v>80</v>
      </c>
      <c r="E796" s="3"/>
      <c r="F796" s="3"/>
      <c r="G796" s="9"/>
      <c r="H796" s="10">
        <v>45668.988159722219</v>
      </c>
      <c r="I796" s="10">
        <v>45668.989027777781</v>
      </c>
      <c r="J796" s="10">
        <v>45668.997175925928</v>
      </c>
      <c r="K796" s="11">
        <v>8.1481481481481474E-3</v>
      </c>
      <c r="L796" s="13"/>
    </row>
    <row r="797" spans="1:12" x14ac:dyDescent="0.45">
      <c r="A797" s="3" t="s">
        <v>1650</v>
      </c>
      <c r="B797" s="3" t="s">
        <v>1725</v>
      </c>
      <c r="C797" s="3" t="s">
        <v>754</v>
      </c>
      <c r="D797" s="9">
        <v>32</v>
      </c>
      <c r="E797" s="3"/>
      <c r="F797" s="3"/>
      <c r="G797" s="9"/>
      <c r="H797" s="10">
        <v>45668.989560185182</v>
      </c>
      <c r="I797" s="10">
        <v>45668.990335648137</v>
      </c>
      <c r="J797" s="10">
        <v>45668.993298611109</v>
      </c>
      <c r="K797" s="11">
        <v>2.9629629629629628E-3</v>
      </c>
      <c r="L797" s="13"/>
    </row>
    <row r="798" spans="1:12" x14ac:dyDescent="0.45">
      <c r="A798" s="3" t="s">
        <v>1650</v>
      </c>
      <c r="B798" s="3" t="s">
        <v>1726</v>
      </c>
      <c r="C798" s="3" t="s">
        <v>771</v>
      </c>
      <c r="D798" s="9">
        <v>48</v>
      </c>
      <c r="E798" s="3"/>
      <c r="F798" s="3"/>
      <c r="G798" s="9"/>
      <c r="H798" s="10">
        <v>45669.406574074077</v>
      </c>
      <c r="I798" s="10">
        <v>45669.407442129632</v>
      </c>
      <c r="J798" s="10">
        <v>45669.412326388891</v>
      </c>
      <c r="K798" s="11">
        <v>4.8842592592592592E-3</v>
      </c>
      <c r="L798" s="13"/>
    </row>
    <row r="799" spans="1:12" x14ac:dyDescent="0.45">
      <c r="A799" s="3" t="s">
        <v>1650</v>
      </c>
      <c r="B799" s="3" t="s">
        <v>1727</v>
      </c>
      <c r="C799" s="3" t="s">
        <v>774</v>
      </c>
      <c r="D799" s="9">
        <v>32</v>
      </c>
      <c r="E799" s="3"/>
      <c r="F799" s="3"/>
      <c r="G799" s="9"/>
      <c r="H799" s="10">
        <v>45669.432986111111</v>
      </c>
      <c r="I799" s="10">
        <v>45669.43378472222</v>
      </c>
      <c r="J799" s="10">
        <v>45669.436747685177</v>
      </c>
      <c r="K799" s="11">
        <v>2.9629629629629628E-3</v>
      </c>
      <c r="L799" s="13"/>
    </row>
    <row r="800" spans="1:12" x14ac:dyDescent="0.45">
      <c r="A800" s="3" t="s">
        <v>1650</v>
      </c>
      <c r="B800" s="3" t="s">
        <v>1728</v>
      </c>
      <c r="C800" s="3" t="s">
        <v>777</v>
      </c>
      <c r="D800" s="9">
        <v>80</v>
      </c>
      <c r="E800" s="3"/>
      <c r="F800" s="3"/>
      <c r="G800" s="9"/>
      <c r="H800" s="10">
        <v>45669.469699074078</v>
      </c>
      <c r="I800" s="10">
        <v>45669.470567129632</v>
      </c>
      <c r="J800" s="10">
        <v>45669.478715277779</v>
      </c>
      <c r="K800" s="11">
        <v>8.1481481481481474E-3</v>
      </c>
      <c r="L800" s="13"/>
    </row>
    <row r="801" spans="1:12" x14ac:dyDescent="0.45">
      <c r="A801" s="3" t="s">
        <v>1650</v>
      </c>
      <c r="B801" s="3" t="s">
        <v>1729</v>
      </c>
      <c r="C801" s="3" t="s">
        <v>785</v>
      </c>
      <c r="D801" s="9">
        <v>48</v>
      </c>
      <c r="E801" s="3"/>
      <c r="F801" s="3"/>
      <c r="G801" s="9"/>
      <c r="H801" s="10">
        <v>45669.504374999997</v>
      </c>
      <c r="I801" s="10">
        <v>45669.505219907413</v>
      </c>
      <c r="J801" s="10">
        <v>45669.510115740741</v>
      </c>
      <c r="K801" s="11">
        <v>4.8958333333333336E-3</v>
      </c>
      <c r="L801" s="13"/>
    </row>
    <row r="802" spans="1:12" x14ac:dyDescent="0.45">
      <c r="A802" s="3" t="s">
        <v>1650</v>
      </c>
      <c r="B802" s="3" t="s">
        <v>1730</v>
      </c>
      <c r="C802" s="3" t="s">
        <v>786</v>
      </c>
      <c r="D802" s="9">
        <v>64</v>
      </c>
      <c r="E802" s="3"/>
      <c r="F802" s="3"/>
      <c r="G802" s="9"/>
      <c r="H802" s="10">
        <v>45669.505798611113</v>
      </c>
      <c r="I802" s="10">
        <v>45669.506643518522</v>
      </c>
      <c r="J802" s="10">
        <v>45669.513159722221</v>
      </c>
      <c r="K802" s="11">
        <v>6.5162037037037037E-3</v>
      </c>
      <c r="L802" s="13"/>
    </row>
    <row r="803" spans="1:12" x14ac:dyDescent="0.45">
      <c r="A803" s="3" t="s">
        <v>1650</v>
      </c>
      <c r="B803" s="3" t="s">
        <v>1731</v>
      </c>
      <c r="C803" s="3" t="s">
        <v>791</v>
      </c>
      <c r="D803" s="9">
        <v>32</v>
      </c>
      <c r="E803" s="3"/>
      <c r="F803" s="3"/>
      <c r="G803" s="9"/>
      <c r="H803" s="10">
        <v>45669.679108796299</v>
      </c>
      <c r="I803" s="10">
        <v>45669.679976851847</v>
      </c>
      <c r="J803" s="10">
        <v>45669.683240740742</v>
      </c>
      <c r="K803" s="11">
        <v>3.2638888888888891E-3</v>
      </c>
      <c r="L803" s="13"/>
    </row>
    <row r="804" spans="1:12" x14ac:dyDescent="0.45">
      <c r="A804" s="3" t="s">
        <v>1650</v>
      </c>
      <c r="B804" s="3" t="s">
        <v>1732</v>
      </c>
      <c r="C804" s="3" t="s">
        <v>794</v>
      </c>
      <c r="D804" s="9">
        <v>64</v>
      </c>
      <c r="E804" s="3"/>
      <c r="F804" s="3"/>
      <c r="G804" s="9"/>
      <c r="H804" s="10">
        <v>45669.680381944447</v>
      </c>
      <c r="I804" s="10">
        <v>45669.681226851862</v>
      </c>
      <c r="J804" s="10">
        <v>45669.687743055547</v>
      </c>
      <c r="K804" s="11">
        <v>6.5162037037037037E-3</v>
      </c>
      <c r="L804" s="13"/>
    </row>
  </sheetData>
  <autoFilter ref="A1:L804" xr:uid="{00000000-0009-0000-0000-000007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E87CC-F575-4262-A3D6-0F52330F69D8}">
  <dimension ref="A1"/>
  <sheetViews>
    <sheetView tabSelected="1" workbookViewId="0"/>
  </sheetViews>
  <sheetFormatPr defaultRowHeight="14.25" x14ac:dyDescent="0.4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79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4" width="8.19921875" customWidth="1"/>
    <col min="5" max="10" width="19" customWidth="1"/>
    <col min="11" max="14" width="8.19921875" customWidth="1"/>
  </cols>
  <sheetData>
    <row r="1" spans="1:14" ht="45" customHeight="1" x14ac:dyDescent="0.45">
      <c r="A1" s="1" t="s">
        <v>1733</v>
      </c>
      <c r="B1" s="1" t="s">
        <v>221</v>
      </c>
      <c r="C1" s="1" t="s">
        <v>127</v>
      </c>
      <c r="D1" s="1" t="s">
        <v>1734</v>
      </c>
      <c r="E1" s="1" t="s">
        <v>1735</v>
      </c>
      <c r="F1" s="1" t="s">
        <v>1736</v>
      </c>
      <c r="G1" s="1" t="s">
        <v>1737</v>
      </c>
      <c r="H1" s="1" t="s">
        <v>1738</v>
      </c>
      <c r="I1" s="1" t="s">
        <v>1739</v>
      </c>
      <c r="J1" s="1" t="s">
        <v>1740</v>
      </c>
      <c r="K1" s="1" t="s">
        <v>1741</v>
      </c>
      <c r="L1" s="1" t="s">
        <v>1742</v>
      </c>
      <c r="M1" s="1" t="s">
        <v>1743</v>
      </c>
      <c r="N1" s="1" t="s">
        <v>1744</v>
      </c>
    </row>
    <row r="2" spans="1:14" x14ac:dyDescent="0.45">
      <c r="A2" s="3" t="s">
        <v>244</v>
      </c>
      <c r="B2" s="3" t="s">
        <v>237</v>
      </c>
      <c r="C2" s="3" t="s">
        <v>813</v>
      </c>
      <c r="D2" s="3">
        <v>2</v>
      </c>
      <c r="E2" s="10">
        <v>45663.219502314823</v>
      </c>
      <c r="F2" s="10">
        <v>45663.229571759257</v>
      </c>
      <c r="G2" s="10">
        <v>45663.231180555558</v>
      </c>
      <c r="H2" s="10">
        <v>45663.250625000001</v>
      </c>
      <c r="I2" s="10">
        <v>45663.250625000001</v>
      </c>
      <c r="J2" s="10">
        <v>45663.251342592594</v>
      </c>
      <c r="K2" s="11">
        <f t="shared" ref="K2:K33" si="0">IF(AND(ISNUMBER(E2),ISNUMBER(F2)),(F2-E2),"")</f>
        <v>1.0069444433611352E-2</v>
      </c>
      <c r="L2" s="11">
        <f t="shared" ref="L2:L33" si="1">IF(AND(ISNUMBER(F2),ISNUMBER(G2)),(G2-F2),"")</f>
        <v>1.6087963012978435E-3</v>
      </c>
      <c r="M2" s="11">
        <f t="shared" ref="M2:M33" si="2">IF(AND(ISNUMBER(H2),ISNUMBER(I2)),(I2-H2),"")</f>
        <v>0</v>
      </c>
      <c r="N2" s="11">
        <f t="shared" ref="N2:N33" si="3">IF(AND(ISNUMBER(E2),ISNUMBER(J2)),(J2-E2),"")</f>
        <v>3.1840277770243119E-2</v>
      </c>
    </row>
    <row r="3" spans="1:14" x14ac:dyDescent="0.45">
      <c r="A3" s="3" t="s">
        <v>232</v>
      </c>
      <c r="B3" s="3" t="s">
        <v>231</v>
      </c>
      <c r="C3" s="3" t="s">
        <v>814</v>
      </c>
      <c r="D3" s="3">
        <v>2</v>
      </c>
      <c r="E3" s="10">
        <v>45663.223761574067</v>
      </c>
      <c r="F3" s="10">
        <v>45663.237685185188</v>
      </c>
      <c r="G3" s="10">
        <v>45663.23847222222</v>
      </c>
      <c r="H3" s="10">
        <v>45663.257916666669</v>
      </c>
      <c r="I3" s="10">
        <v>45663.257916666669</v>
      </c>
      <c r="J3" s="10">
        <v>45663.258576388893</v>
      </c>
      <c r="K3" s="11">
        <f t="shared" si="0"/>
        <v>1.3923611120844726E-2</v>
      </c>
      <c r="L3" s="11">
        <f t="shared" si="1"/>
        <v>7.8703703184146434E-4</v>
      </c>
      <c r="M3" s="11">
        <f t="shared" si="2"/>
        <v>0</v>
      </c>
      <c r="N3" s="11">
        <f t="shared" si="3"/>
        <v>3.4814814825949725E-2</v>
      </c>
    </row>
    <row r="4" spans="1:14" x14ac:dyDescent="0.45">
      <c r="A4" s="3" t="s">
        <v>256</v>
      </c>
      <c r="B4" s="3" t="s">
        <v>255</v>
      </c>
      <c r="C4" s="3" t="s">
        <v>813</v>
      </c>
      <c r="D4" s="3">
        <v>3</v>
      </c>
      <c r="E4" s="10">
        <v>45663.321666666663</v>
      </c>
      <c r="F4" s="10">
        <v>45663.334340277783</v>
      </c>
      <c r="G4" s="10">
        <v>45663.335185185177</v>
      </c>
      <c r="H4" s="10">
        <v>45663.362962962958</v>
      </c>
      <c r="I4" s="10">
        <v>45663.362962962958</v>
      </c>
      <c r="J4" s="10">
        <v>45663.363796296297</v>
      </c>
      <c r="K4" s="11">
        <f t="shared" si="0"/>
        <v>1.2673611119680572E-2</v>
      </c>
      <c r="L4" s="11">
        <f t="shared" si="1"/>
        <v>8.4490739391185343E-4</v>
      </c>
      <c r="M4" s="11">
        <f t="shared" si="2"/>
        <v>0</v>
      </c>
      <c r="N4" s="11">
        <f t="shared" si="3"/>
        <v>4.2129629633564036E-2</v>
      </c>
    </row>
    <row r="5" spans="1:14" x14ac:dyDescent="0.45">
      <c r="A5" s="3" t="s">
        <v>241</v>
      </c>
      <c r="B5" s="3" t="s">
        <v>231</v>
      </c>
      <c r="C5" s="3" t="s">
        <v>815</v>
      </c>
      <c r="D5" s="3">
        <v>3</v>
      </c>
      <c r="E5" s="10">
        <v>45663.226469907408</v>
      </c>
      <c r="F5" s="10">
        <v>45663.63653935185</v>
      </c>
      <c r="G5" s="10">
        <v>45663.637407407397</v>
      </c>
      <c r="H5" s="10">
        <v>45663.659629629627</v>
      </c>
      <c r="I5" s="10">
        <v>45663.659629629627</v>
      </c>
      <c r="J5" s="10">
        <v>45663.660520833328</v>
      </c>
      <c r="K5" s="11">
        <f t="shared" si="0"/>
        <v>0.4100694444423425</v>
      </c>
      <c r="L5" s="11">
        <f t="shared" si="1"/>
        <v>8.6805554747115821E-4</v>
      </c>
      <c r="M5" s="11">
        <f t="shared" si="2"/>
        <v>0</v>
      </c>
      <c r="N5" s="11">
        <f t="shared" si="3"/>
        <v>0.43405092592001893</v>
      </c>
    </row>
    <row r="6" spans="1:14" x14ac:dyDescent="0.45">
      <c r="A6" s="3" t="s">
        <v>264</v>
      </c>
      <c r="B6" s="3" t="s">
        <v>263</v>
      </c>
      <c r="C6" s="3" t="s">
        <v>813</v>
      </c>
      <c r="D6" s="3">
        <v>4</v>
      </c>
      <c r="E6" s="10">
        <v>45663.476574074077</v>
      </c>
      <c r="F6" s="10">
        <v>45663.636770833327</v>
      </c>
      <c r="G6" s="10">
        <v>45663.637638888889</v>
      </c>
      <c r="H6" s="10">
        <v>45663.668194444443</v>
      </c>
      <c r="I6" s="10">
        <v>45663.668194444443</v>
      </c>
      <c r="J6" s="10">
        <v>45663.669074074067</v>
      </c>
      <c r="K6" s="11">
        <f t="shared" si="0"/>
        <v>0.16019675925053889</v>
      </c>
      <c r="L6" s="11">
        <f t="shared" si="1"/>
        <v>8.6805556202307343E-4</v>
      </c>
      <c r="M6" s="11">
        <f t="shared" si="2"/>
        <v>0</v>
      </c>
      <c r="N6" s="11">
        <f t="shared" si="3"/>
        <v>0.1924999999901047</v>
      </c>
    </row>
    <row r="7" spans="1:14" x14ac:dyDescent="0.45">
      <c r="A7" s="3" t="s">
        <v>248</v>
      </c>
      <c r="B7" s="3" t="s">
        <v>247</v>
      </c>
      <c r="C7" s="3" t="s">
        <v>816</v>
      </c>
      <c r="D7" s="3">
        <v>3</v>
      </c>
      <c r="E7" s="10">
        <v>45663.220532407409</v>
      </c>
      <c r="F7" s="10">
        <v>45664.267048611109</v>
      </c>
      <c r="G7" s="10">
        <v>45664.267893518518</v>
      </c>
      <c r="H7" s="10">
        <v>45664.292893518519</v>
      </c>
      <c r="I7" s="10">
        <v>45664.292893518519</v>
      </c>
      <c r="J7" s="10">
        <v>45664.293657407397</v>
      </c>
      <c r="K7" s="11">
        <f t="shared" si="0"/>
        <v>1.0465162036998663</v>
      </c>
      <c r="L7" s="11">
        <f t="shared" si="1"/>
        <v>8.4490740846376866E-4</v>
      </c>
      <c r="M7" s="11">
        <f t="shared" si="2"/>
        <v>0</v>
      </c>
      <c r="N7" s="11">
        <f t="shared" si="3"/>
        <v>1.0731249999880674</v>
      </c>
    </row>
    <row r="8" spans="1:14" x14ac:dyDescent="0.45">
      <c r="A8" s="3" t="s">
        <v>238</v>
      </c>
      <c r="B8" s="3" t="s">
        <v>237</v>
      </c>
      <c r="C8" s="3" t="s">
        <v>817</v>
      </c>
      <c r="D8" s="3">
        <v>3</v>
      </c>
      <c r="E8" s="10">
        <v>45663.225277777783</v>
      </c>
      <c r="F8" s="10">
        <v>45664.271087962959</v>
      </c>
      <c r="G8" s="10">
        <v>45664.272824074083</v>
      </c>
      <c r="H8" s="10">
        <v>45664.306157407409</v>
      </c>
      <c r="I8" s="10">
        <v>45664.306157407409</v>
      </c>
      <c r="J8" s="10">
        <v>45664.30709490741</v>
      </c>
      <c r="K8" s="11">
        <f t="shared" si="0"/>
        <v>1.0458101851763786</v>
      </c>
      <c r="L8" s="11">
        <f t="shared" si="1"/>
        <v>1.7361111240461469E-3</v>
      </c>
      <c r="M8" s="11">
        <f t="shared" si="2"/>
        <v>0</v>
      </c>
      <c r="N8" s="11">
        <f t="shared" si="3"/>
        <v>1.0818171296268702</v>
      </c>
    </row>
    <row r="9" spans="1:14" x14ac:dyDescent="0.45">
      <c r="A9" s="3" t="s">
        <v>284</v>
      </c>
      <c r="B9" s="3" t="s">
        <v>283</v>
      </c>
      <c r="C9" s="3" t="s">
        <v>813</v>
      </c>
      <c r="D9" s="3">
        <v>2</v>
      </c>
      <c r="E9" s="10">
        <v>45664.268495370372</v>
      </c>
      <c r="F9" s="10">
        <v>45664.28125</v>
      </c>
      <c r="G9" s="10">
        <v>45664.307893518519</v>
      </c>
      <c r="H9" s="10">
        <v>45664.33011574074</v>
      </c>
      <c r="I9" s="10">
        <v>45664.33011574074</v>
      </c>
      <c r="J9" s="10">
        <v>45664.330868055556</v>
      </c>
      <c r="K9" s="11">
        <f t="shared" si="0"/>
        <v>1.2754629628034309E-2</v>
      </c>
      <c r="L9" s="11">
        <f t="shared" si="1"/>
        <v>2.6643518518540077E-2</v>
      </c>
      <c r="M9" s="11">
        <f t="shared" si="2"/>
        <v>0</v>
      </c>
      <c r="N9" s="11">
        <f t="shared" si="3"/>
        <v>6.2372685184527654E-2</v>
      </c>
    </row>
    <row r="10" spans="1:14" x14ac:dyDescent="0.45">
      <c r="A10" s="3" t="s">
        <v>292</v>
      </c>
      <c r="B10" s="3" t="s">
        <v>231</v>
      </c>
      <c r="C10" s="3" t="s">
        <v>814</v>
      </c>
      <c r="D10" s="3">
        <v>2</v>
      </c>
      <c r="E10" s="10">
        <v>45664.279178240737</v>
      </c>
      <c r="F10" s="10">
        <v>45664.296180555553</v>
      </c>
      <c r="G10" s="10">
        <v>45664.310671296298</v>
      </c>
      <c r="H10" s="10">
        <v>45664.33011574074</v>
      </c>
      <c r="I10" s="10">
        <v>45664.330868055556</v>
      </c>
      <c r="J10" s="10">
        <v>45664.33152777778</v>
      </c>
      <c r="K10" s="11">
        <f t="shared" si="0"/>
        <v>1.7002314816636499E-2</v>
      </c>
      <c r="L10" s="11">
        <f t="shared" si="1"/>
        <v>1.4490740744804498E-2</v>
      </c>
      <c r="M10" s="11">
        <f t="shared" si="2"/>
        <v>7.5231481605442241E-4</v>
      </c>
      <c r="N10" s="11">
        <f t="shared" si="3"/>
        <v>5.2349537043482997E-2</v>
      </c>
    </row>
    <row r="11" spans="1:14" x14ac:dyDescent="0.45">
      <c r="A11" s="3" t="s">
        <v>289</v>
      </c>
      <c r="B11" s="3" t="s">
        <v>283</v>
      </c>
      <c r="C11" s="3" t="s">
        <v>815</v>
      </c>
      <c r="D11" s="3">
        <v>2</v>
      </c>
      <c r="E11" s="10">
        <v>45664.277731481481</v>
      </c>
      <c r="F11" s="10">
        <v>45664.298263888893</v>
      </c>
      <c r="G11" s="10">
        <v>45664.315694444442</v>
      </c>
      <c r="H11" s="10">
        <v>45664.340694444443</v>
      </c>
      <c r="I11" s="10">
        <v>45664.340694444443</v>
      </c>
      <c r="J11" s="10">
        <v>45664.341631944437</v>
      </c>
      <c r="K11" s="11">
        <f t="shared" si="0"/>
        <v>2.0532407412247267E-2</v>
      </c>
      <c r="L11" s="11">
        <f t="shared" si="1"/>
        <v>1.7430555548344273E-2</v>
      </c>
      <c r="M11" s="11">
        <f t="shared" si="2"/>
        <v>0</v>
      </c>
      <c r="N11" s="11">
        <f t="shared" si="3"/>
        <v>6.3900462955643889E-2</v>
      </c>
    </row>
    <row r="12" spans="1:14" x14ac:dyDescent="0.45">
      <c r="A12" s="3" t="s">
        <v>302</v>
      </c>
      <c r="B12" s="3" t="s">
        <v>231</v>
      </c>
      <c r="C12" s="3" t="s">
        <v>818</v>
      </c>
      <c r="D12" s="3">
        <v>3</v>
      </c>
      <c r="E12" s="10">
        <v>45664.287789351853</v>
      </c>
      <c r="F12" s="10">
        <v>45664.309062499997</v>
      </c>
      <c r="G12" s="10">
        <v>45664.331793981481</v>
      </c>
      <c r="H12" s="10">
        <v>45664.356793981482</v>
      </c>
      <c r="I12" s="10">
        <v>45664.356793981482</v>
      </c>
      <c r="J12" s="10">
        <v>45664.357673611114</v>
      </c>
      <c r="K12" s="11">
        <f t="shared" si="0"/>
        <v>2.1273148144246079E-2</v>
      </c>
      <c r="L12" s="11">
        <f t="shared" si="1"/>
        <v>2.273148148378823E-2</v>
      </c>
      <c r="M12" s="11">
        <f t="shared" si="2"/>
        <v>0</v>
      </c>
      <c r="N12" s="11">
        <f t="shared" si="3"/>
        <v>6.9884259261016268E-2</v>
      </c>
    </row>
    <row r="13" spans="1:14" x14ac:dyDescent="0.45">
      <c r="A13" s="3" t="s">
        <v>299</v>
      </c>
      <c r="B13" s="3" t="s">
        <v>263</v>
      </c>
      <c r="C13" s="3" t="s">
        <v>819</v>
      </c>
      <c r="D13" s="3">
        <v>3</v>
      </c>
      <c r="E13" s="10">
        <v>45664.286377314813</v>
      </c>
      <c r="F13" s="10">
        <v>45664.313958333332</v>
      </c>
      <c r="G13" s="10">
        <v>45664.33185185185</v>
      </c>
      <c r="H13" s="10">
        <v>45664.356851851851</v>
      </c>
      <c r="I13" s="10">
        <v>45664.357673611114</v>
      </c>
      <c r="J13" s="10">
        <v>45664.358541666668</v>
      </c>
      <c r="K13" s="11">
        <f t="shared" si="0"/>
        <v>2.7581018519413192E-2</v>
      </c>
      <c r="L13" s="11">
        <f t="shared" si="1"/>
        <v>1.7893518517666962E-2</v>
      </c>
      <c r="M13" s="11">
        <f t="shared" si="2"/>
        <v>8.217592621804215E-4</v>
      </c>
      <c r="N13" s="11">
        <f t="shared" si="3"/>
        <v>7.2164351855462883E-2</v>
      </c>
    </row>
    <row r="14" spans="1:14" x14ac:dyDescent="0.45">
      <c r="A14" s="3" t="s">
        <v>320</v>
      </c>
      <c r="B14" s="3" t="s">
        <v>247</v>
      </c>
      <c r="C14" s="3" t="s">
        <v>813</v>
      </c>
      <c r="D14" s="3">
        <v>3</v>
      </c>
      <c r="E14" s="10">
        <v>45664.549826388888</v>
      </c>
      <c r="F14" s="10">
        <v>45664.559664351851</v>
      </c>
      <c r="G14" s="10">
        <v>45664.56045138889</v>
      </c>
      <c r="H14" s="10">
        <v>45664.582673611112</v>
      </c>
      <c r="I14" s="10">
        <v>45664.582673611112</v>
      </c>
      <c r="J14" s="10">
        <v>45664.583437499998</v>
      </c>
      <c r="K14" s="11">
        <f t="shared" si="0"/>
        <v>9.8379629635019228E-3</v>
      </c>
      <c r="L14" s="11">
        <f t="shared" si="1"/>
        <v>7.8703703911742195E-4</v>
      </c>
      <c r="M14" s="11">
        <f t="shared" si="2"/>
        <v>0</v>
      </c>
      <c r="N14" s="11">
        <f t="shared" si="3"/>
        <v>3.3611111110076308E-2</v>
      </c>
    </row>
    <row r="15" spans="1:14" x14ac:dyDescent="0.45">
      <c r="A15" s="3" t="s">
        <v>305</v>
      </c>
      <c r="B15" s="3" t="s">
        <v>283</v>
      </c>
      <c r="C15" s="3" t="s">
        <v>820</v>
      </c>
      <c r="D15" s="3">
        <v>5</v>
      </c>
      <c r="E15" s="10">
        <v>45664.292685185188</v>
      </c>
      <c r="F15" s="10">
        <v>45664.704375000001</v>
      </c>
      <c r="G15" s="10">
        <v>45664.705243055563</v>
      </c>
      <c r="H15" s="10">
        <v>45664.735798611109</v>
      </c>
      <c r="I15" s="10">
        <v>45664.735798611109</v>
      </c>
      <c r="J15" s="10">
        <v>45664.736712962957</v>
      </c>
      <c r="K15" s="11">
        <f t="shared" si="0"/>
        <v>0.41168981481314404</v>
      </c>
      <c r="L15" s="11">
        <f t="shared" si="1"/>
        <v>8.6805556202307343E-4</v>
      </c>
      <c r="M15" s="11">
        <f t="shared" si="2"/>
        <v>0</v>
      </c>
      <c r="N15" s="11">
        <f t="shared" si="3"/>
        <v>0.44402777776849689</v>
      </c>
    </row>
    <row r="16" spans="1:14" x14ac:dyDescent="0.45">
      <c r="A16" s="3" t="s">
        <v>331</v>
      </c>
      <c r="B16" s="3" t="s">
        <v>263</v>
      </c>
      <c r="C16" s="3" t="s">
        <v>813</v>
      </c>
      <c r="D16" s="3">
        <v>3</v>
      </c>
      <c r="E16" s="10">
        <v>45664.840150462973</v>
      </c>
      <c r="F16" s="10">
        <v>45665.253622685188</v>
      </c>
      <c r="G16" s="10">
        <v>45665.254490740743</v>
      </c>
      <c r="H16" s="10">
        <v>45665.276712962957</v>
      </c>
      <c r="I16" s="10">
        <v>45665.276712962957</v>
      </c>
      <c r="J16" s="10">
        <v>45665.27747685185</v>
      </c>
      <c r="K16" s="11">
        <f t="shared" si="0"/>
        <v>0.41347222221520497</v>
      </c>
      <c r="L16" s="11">
        <f t="shared" si="1"/>
        <v>8.6805555474711582E-4</v>
      </c>
      <c r="M16" s="11">
        <f t="shared" si="2"/>
        <v>0</v>
      </c>
      <c r="N16" s="11">
        <f t="shared" si="3"/>
        <v>0.43732638887740904</v>
      </c>
    </row>
    <row r="17" spans="1:14" x14ac:dyDescent="0.45">
      <c r="A17" s="3" t="s">
        <v>334</v>
      </c>
      <c r="B17" s="3" t="s">
        <v>283</v>
      </c>
      <c r="C17" s="3" t="s">
        <v>816</v>
      </c>
      <c r="D17" s="3">
        <v>3</v>
      </c>
      <c r="E17" s="10">
        <v>45664.841296296298</v>
      </c>
      <c r="F17" s="10">
        <v>45665.254583333342</v>
      </c>
      <c r="G17" s="10">
        <v>45665.25545138889</v>
      </c>
      <c r="H17" s="10">
        <v>45665.277673611112</v>
      </c>
      <c r="I17" s="10">
        <v>45665.277673611112</v>
      </c>
      <c r="J17" s="10">
        <v>45665.278402777767</v>
      </c>
      <c r="K17" s="11">
        <f t="shared" si="0"/>
        <v>0.41328703704493819</v>
      </c>
      <c r="L17" s="11">
        <f t="shared" si="1"/>
        <v>8.6805554747115821E-4</v>
      </c>
      <c r="M17" s="11">
        <f t="shared" si="2"/>
        <v>0</v>
      </c>
      <c r="N17" s="11">
        <f t="shared" si="3"/>
        <v>0.43710648146952735</v>
      </c>
    </row>
    <row r="18" spans="1:14" x14ac:dyDescent="0.45">
      <c r="A18" s="3" t="s">
        <v>355</v>
      </c>
      <c r="B18" s="3" t="s">
        <v>354</v>
      </c>
      <c r="C18" s="3" t="s">
        <v>817</v>
      </c>
      <c r="D18" s="3">
        <v>5</v>
      </c>
      <c r="E18" s="10">
        <v>45665.238993055558</v>
      </c>
      <c r="F18" s="10">
        <v>45665.393368055556</v>
      </c>
      <c r="G18" s="10">
        <v>45665.394733796304</v>
      </c>
      <c r="H18" s="10">
        <v>45665.42528935185</v>
      </c>
      <c r="I18" s="10">
        <v>45665.42528935185</v>
      </c>
      <c r="J18" s="10">
        <v>45665.426203703697</v>
      </c>
      <c r="K18" s="11">
        <f t="shared" si="0"/>
        <v>0.15437499999825377</v>
      </c>
      <c r="L18" s="11">
        <f t="shared" si="1"/>
        <v>1.3657407471328042E-3</v>
      </c>
      <c r="M18" s="11">
        <f t="shared" si="2"/>
        <v>0</v>
      </c>
      <c r="N18" s="11">
        <f t="shared" si="3"/>
        <v>0.18721064813871635</v>
      </c>
    </row>
    <row r="19" spans="1:14" x14ac:dyDescent="0.45">
      <c r="A19" s="3" t="s">
        <v>345</v>
      </c>
      <c r="B19" s="3" t="s">
        <v>231</v>
      </c>
      <c r="C19" s="3" t="s">
        <v>815</v>
      </c>
      <c r="D19" s="3">
        <v>5</v>
      </c>
      <c r="E19" s="10">
        <v>45665.24119212963</v>
      </c>
      <c r="F19" s="10">
        <v>45665.403715277767</v>
      </c>
      <c r="G19" s="10">
        <v>45665.404583333337</v>
      </c>
      <c r="H19" s="10">
        <v>45665.446250000001</v>
      </c>
      <c r="I19" s="10">
        <v>45665.446250000001</v>
      </c>
      <c r="J19" s="10">
        <v>45665.447395833333</v>
      </c>
      <c r="K19" s="11">
        <f t="shared" si="0"/>
        <v>0.1625231481375522</v>
      </c>
      <c r="L19" s="11">
        <f t="shared" si="1"/>
        <v>8.6805556929903105E-4</v>
      </c>
      <c r="M19" s="11">
        <f t="shared" si="2"/>
        <v>0</v>
      </c>
      <c r="N19" s="11">
        <f t="shared" si="3"/>
        <v>0.20620370370306773</v>
      </c>
    </row>
    <row r="20" spans="1:14" x14ac:dyDescent="0.45">
      <c r="A20" s="3" t="s">
        <v>378</v>
      </c>
      <c r="B20" s="3" t="s">
        <v>283</v>
      </c>
      <c r="C20" s="3" t="s">
        <v>819</v>
      </c>
      <c r="D20" s="3">
        <v>3</v>
      </c>
      <c r="E20" s="10">
        <v>45665.407465277778</v>
      </c>
      <c r="F20" s="10">
        <v>45665.421481481477</v>
      </c>
      <c r="G20" s="10">
        <v>45665.429837962962</v>
      </c>
      <c r="H20" s="10">
        <v>45665.457615740743</v>
      </c>
      <c r="I20" s="10">
        <v>45665.457615740743</v>
      </c>
      <c r="J20" s="10">
        <v>45665.45853009259</v>
      </c>
      <c r="K20" s="11">
        <f t="shared" si="0"/>
        <v>1.4016203698702157E-2</v>
      </c>
      <c r="L20" s="11">
        <f t="shared" si="1"/>
        <v>8.3564814849523827E-3</v>
      </c>
      <c r="M20" s="11">
        <f t="shared" si="2"/>
        <v>0</v>
      </c>
      <c r="N20" s="11">
        <f t="shared" si="3"/>
        <v>5.1064814811979886E-2</v>
      </c>
    </row>
    <row r="21" spans="1:14" x14ac:dyDescent="0.45">
      <c r="A21" s="3" t="s">
        <v>385</v>
      </c>
      <c r="B21" s="3" t="s">
        <v>231</v>
      </c>
      <c r="C21" s="3" t="s">
        <v>818</v>
      </c>
      <c r="D21" s="3">
        <v>3</v>
      </c>
      <c r="E21" s="10">
        <v>45665.411874999998</v>
      </c>
      <c r="F21" s="10">
        <v>45665.433541666673</v>
      </c>
      <c r="G21" s="10">
        <v>45665.44798611111</v>
      </c>
      <c r="H21" s="10">
        <v>45665.475763888891</v>
      </c>
      <c r="I21" s="10">
        <v>45665.475763888891</v>
      </c>
      <c r="J21" s="10">
        <v>45665.476678240739</v>
      </c>
      <c r="K21" s="11">
        <f t="shared" si="0"/>
        <v>2.1666666674718726E-2</v>
      </c>
      <c r="L21" s="11">
        <f t="shared" si="1"/>
        <v>1.4444444437685888E-2</v>
      </c>
      <c r="M21" s="11">
        <f t="shared" si="2"/>
        <v>0</v>
      </c>
      <c r="N21" s="11">
        <f t="shared" si="3"/>
        <v>6.4803240740729962E-2</v>
      </c>
    </row>
    <row r="22" spans="1:14" x14ac:dyDescent="0.45">
      <c r="A22" s="3" t="s">
        <v>375</v>
      </c>
      <c r="B22" s="3" t="s">
        <v>354</v>
      </c>
      <c r="C22" s="3" t="s">
        <v>816</v>
      </c>
      <c r="D22" s="3">
        <v>4</v>
      </c>
      <c r="E22" s="10">
        <v>45665.405949074076</v>
      </c>
      <c r="F22" s="10">
        <v>45665.454467592594</v>
      </c>
      <c r="G22" s="10">
        <v>45665.456053240741</v>
      </c>
      <c r="H22" s="10">
        <v>45665.492164351846</v>
      </c>
      <c r="I22" s="10">
        <v>45665.492164351846</v>
      </c>
      <c r="J22" s="10">
        <v>45665.493067129632</v>
      </c>
      <c r="K22" s="11">
        <f t="shared" si="0"/>
        <v>4.8518518517084885E-2</v>
      </c>
      <c r="L22" s="11">
        <f t="shared" si="1"/>
        <v>1.5856481477385387E-3</v>
      </c>
      <c r="M22" s="11">
        <f t="shared" si="2"/>
        <v>0</v>
      </c>
      <c r="N22" s="11">
        <f t="shared" si="3"/>
        <v>8.7118055555038154E-2</v>
      </c>
    </row>
    <row r="23" spans="1:14" x14ac:dyDescent="0.45">
      <c r="A23" s="3" t="s">
        <v>398</v>
      </c>
      <c r="B23" s="3" t="s">
        <v>263</v>
      </c>
      <c r="C23" s="3" t="s">
        <v>820</v>
      </c>
      <c r="D23" s="3">
        <v>2</v>
      </c>
      <c r="E23" s="10">
        <v>45665.432199074072</v>
      </c>
      <c r="F23" s="10">
        <v>45665.611238425918</v>
      </c>
      <c r="G23" s="10">
        <v>45665.61210648148</v>
      </c>
      <c r="H23" s="10">
        <v>45665.634328703702</v>
      </c>
      <c r="I23" s="10">
        <v>45665.634328703702</v>
      </c>
      <c r="J23" s="10">
        <v>45665.635138888887</v>
      </c>
      <c r="K23" s="11">
        <f t="shared" si="0"/>
        <v>0.17903935184585862</v>
      </c>
      <c r="L23" s="11">
        <f t="shared" si="1"/>
        <v>8.6805556202307343E-4</v>
      </c>
      <c r="M23" s="11">
        <f t="shared" si="2"/>
        <v>0</v>
      </c>
      <c r="N23" s="11">
        <f t="shared" si="3"/>
        <v>0.20293981481518131</v>
      </c>
    </row>
    <row r="24" spans="1:14" x14ac:dyDescent="0.45">
      <c r="A24" s="3" t="s">
        <v>358</v>
      </c>
      <c r="B24" s="3" t="s">
        <v>255</v>
      </c>
      <c r="C24" s="3" t="s">
        <v>813</v>
      </c>
      <c r="D24" s="3">
        <v>3</v>
      </c>
      <c r="E24" s="10">
        <v>45665.383993055562</v>
      </c>
      <c r="F24" s="10">
        <v>45665.614490740743</v>
      </c>
      <c r="G24" s="10">
        <v>45665.615358796298</v>
      </c>
      <c r="H24" s="10">
        <v>45665.6403587963</v>
      </c>
      <c r="I24" s="10">
        <v>45665.6403587963</v>
      </c>
      <c r="J24" s="10">
        <v>45665.641168981478</v>
      </c>
      <c r="K24" s="11">
        <f t="shared" si="0"/>
        <v>0.23049768518103519</v>
      </c>
      <c r="L24" s="11">
        <f t="shared" si="1"/>
        <v>8.6805555474711582E-4</v>
      </c>
      <c r="M24" s="11">
        <f t="shared" si="2"/>
        <v>0</v>
      </c>
      <c r="N24" s="11">
        <f t="shared" si="3"/>
        <v>0.25717592591536231</v>
      </c>
    </row>
    <row r="25" spans="1:14" x14ac:dyDescent="0.45">
      <c r="A25" s="3" t="s">
        <v>407</v>
      </c>
      <c r="B25" s="3" t="s">
        <v>231</v>
      </c>
      <c r="C25" s="3" t="s">
        <v>813</v>
      </c>
      <c r="D25" s="3">
        <v>2</v>
      </c>
      <c r="E25" s="10">
        <v>45665.758020833331</v>
      </c>
      <c r="F25" s="10">
        <v>45665.767060185193</v>
      </c>
      <c r="G25" s="10">
        <v>45665.767893518518</v>
      </c>
      <c r="H25" s="10">
        <v>45665.78733796296</v>
      </c>
      <c r="I25" s="10">
        <v>45665.78733796296</v>
      </c>
      <c r="J25" s="10">
        <v>45665.78806712963</v>
      </c>
      <c r="K25" s="11">
        <f t="shared" si="0"/>
        <v>9.0393518621567637E-3</v>
      </c>
      <c r="L25" s="11">
        <f t="shared" si="1"/>
        <v>8.3333332440815866E-4</v>
      </c>
      <c r="M25" s="11">
        <f t="shared" si="2"/>
        <v>0</v>
      </c>
      <c r="N25" s="11">
        <f t="shared" si="3"/>
        <v>3.0046296298678499E-2</v>
      </c>
    </row>
    <row r="26" spans="1:14" x14ac:dyDescent="0.45">
      <c r="A26" s="3" t="s">
        <v>412</v>
      </c>
      <c r="B26" s="3" t="s">
        <v>354</v>
      </c>
      <c r="C26" s="3" t="s">
        <v>813</v>
      </c>
      <c r="D26" s="3">
        <v>5</v>
      </c>
      <c r="E26" s="10">
        <v>45665.906921296293</v>
      </c>
      <c r="F26" s="10">
        <v>45665.919918981483</v>
      </c>
      <c r="G26" s="10">
        <v>45665.920763888891</v>
      </c>
      <c r="H26" s="10">
        <v>45665.965208333328</v>
      </c>
      <c r="I26" s="10">
        <v>45665.965208333328</v>
      </c>
      <c r="J26" s="10">
        <v>45665.966261574067</v>
      </c>
      <c r="K26" s="11">
        <f t="shared" si="0"/>
        <v>1.2997685189475305E-2</v>
      </c>
      <c r="L26" s="11">
        <f t="shared" si="1"/>
        <v>8.4490740846376866E-4</v>
      </c>
      <c r="M26" s="11">
        <f t="shared" si="2"/>
        <v>0</v>
      </c>
      <c r="N26" s="11">
        <f t="shared" si="3"/>
        <v>5.9340277774026617E-2</v>
      </c>
    </row>
    <row r="27" spans="1:14" x14ac:dyDescent="0.45">
      <c r="A27" s="3" t="s">
        <v>431</v>
      </c>
      <c r="B27" s="3" t="s">
        <v>283</v>
      </c>
      <c r="C27" s="3" t="s">
        <v>817</v>
      </c>
      <c r="D27" s="3">
        <v>3</v>
      </c>
      <c r="E27" s="10">
        <v>45666.223877314813</v>
      </c>
      <c r="F27" s="10">
        <v>45666.238599537042</v>
      </c>
      <c r="G27" s="10">
        <v>45666.23946759259</v>
      </c>
      <c r="H27" s="10">
        <v>45666.27002314815</v>
      </c>
      <c r="I27" s="10">
        <v>45666.27002314815</v>
      </c>
      <c r="J27" s="10">
        <v>45666.270925925928</v>
      </c>
      <c r="K27" s="11">
        <f t="shared" si="0"/>
        <v>1.4722222229465842E-2</v>
      </c>
      <c r="L27" s="11">
        <f t="shared" si="1"/>
        <v>8.6805554747115821E-4</v>
      </c>
      <c r="M27" s="11">
        <f t="shared" si="2"/>
        <v>0</v>
      </c>
      <c r="N27" s="11">
        <f t="shared" si="3"/>
        <v>4.7048611115314998E-2</v>
      </c>
    </row>
    <row r="28" spans="1:14" x14ac:dyDescent="0.45">
      <c r="A28" s="3" t="s">
        <v>423</v>
      </c>
      <c r="B28" s="3" t="s">
        <v>263</v>
      </c>
      <c r="C28" s="3" t="s">
        <v>813</v>
      </c>
      <c r="D28" s="3">
        <v>3</v>
      </c>
      <c r="E28" s="10">
        <v>45666.216562499998</v>
      </c>
      <c r="F28" s="10">
        <v>45666.243206018517</v>
      </c>
      <c r="G28" s="10">
        <v>45666.27175925926</v>
      </c>
      <c r="H28" s="10">
        <v>45666.296759259261</v>
      </c>
      <c r="I28" s="10">
        <v>45666.296759259261</v>
      </c>
      <c r="J28" s="10">
        <v>45666.29755787037</v>
      </c>
      <c r="K28" s="11">
        <f t="shared" si="0"/>
        <v>2.6643518518540077E-2</v>
      </c>
      <c r="L28" s="11">
        <f t="shared" si="1"/>
        <v>2.8553240743349306E-2</v>
      </c>
      <c r="M28" s="11">
        <f t="shared" si="2"/>
        <v>0</v>
      </c>
      <c r="N28" s="11">
        <f t="shared" si="3"/>
        <v>8.0995370371965691E-2</v>
      </c>
    </row>
    <row r="29" spans="1:14" x14ac:dyDescent="0.45">
      <c r="A29" s="3" t="s">
        <v>440</v>
      </c>
      <c r="B29" s="3" t="s">
        <v>231</v>
      </c>
      <c r="C29" s="3" t="s">
        <v>815</v>
      </c>
      <c r="D29" s="3">
        <v>5</v>
      </c>
      <c r="E29" s="10">
        <v>45666.237013888887</v>
      </c>
      <c r="F29" s="10">
        <v>45666.264606481483</v>
      </c>
      <c r="G29" s="10">
        <v>45666.277777777781</v>
      </c>
      <c r="H29" s="10">
        <v>45666.316666666673</v>
      </c>
      <c r="I29" s="10">
        <v>45666.316666666673</v>
      </c>
      <c r="J29" s="10">
        <v>45666.317777777767</v>
      </c>
      <c r="K29" s="11">
        <f t="shared" si="0"/>
        <v>2.7592592596192844E-2</v>
      </c>
      <c r="L29" s="11">
        <f t="shared" si="1"/>
        <v>1.3171296297514345E-2</v>
      </c>
      <c r="M29" s="11">
        <f t="shared" si="2"/>
        <v>0</v>
      </c>
      <c r="N29" s="11">
        <f t="shared" si="3"/>
        <v>8.0763888880028389E-2</v>
      </c>
    </row>
    <row r="30" spans="1:14" x14ac:dyDescent="0.45">
      <c r="A30" s="3" t="s">
        <v>428</v>
      </c>
      <c r="B30" s="3" t="s">
        <v>247</v>
      </c>
      <c r="C30" s="3" t="s">
        <v>816</v>
      </c>
      <c r="D30" s="3">
        <v>5</v>
      </c>
      <c r="E30" s="10">
        <v>45666.217465277783</v>
      </c>
      <c r="F30" s="10">
        <v>45666.269976851851</v>
      </c>
      <c r="G30" s="10">
        <v>45666.282106481478</v>
      </c>
      <c r="H30" s="10">
        <v>45666.323773148149</v>
      </c>
      <c r="I30" s="10">
        <v>45666.323773148149</v>
      </c>
      <c r="J30" s="10">
        <v>45666.32476851852</v>
      </c>
      <c r="K30" s="11">
        <f t="shared" si="0"/>
        <v>5.2511574067466427E-2</v>
      </c>
      <c r="L30" s="11">
        <f t="shared" si="1"/>
        <v>1.2129629627452232E-2</v>
      </c>
      <c r="M30" s="11">
        <f t="shared" si="2"/>
        <v>0</v>
      </c>
      <c r="N30" s="11">
        <f t="shared" si="3"/>
        <v>0.10730324073665543</v>
      </c>
    </row>
    <row r="31" spans="1:14" x14ac:dyDescent="0.45">
      <c r="A31" s="3" t="s">
        <v>475</v>
      </c>
      <c r="B31" s="3" t="s">
        <v>283</v>
      </c>
      <c r="C31" s="3" t="s">
        <v>821</v>
      </c>
      <c r="D31" s="3">
        <v>2</v>
      </c>
      <c r="E31" s="10">
        <v>45666.255925925929</v>
      </c>
      <c r="F31" s="10">
        <v>45666.278877314813</v>
      </c>
      <c r="G31" s="10">
        <v>45666.298495370371</v>
      </c>
      <c r="H31" s="10">
        <v>45666.320717592593</v>
      </c>
      <c r="I31" s="10">
        <v>45666.320717592593</v>
      </c>
      <c r="J31" s="10">
        <v>45666.321608796286</v>
      </c>
      <c r="K31" s="11">
        <f t="shared" si="0"/>
        <v>2.2951388884393964E-2</v>
      </c>
      <c r="L31" s="11">
        <f t="shared" si="1"/>
        <v>1.9618055557657499E-2</v>
      </c>
      <c r="M31" s="11">
        <f t="shared" si="2"/>
        <v>0</v>
      </c>
      <c r="N31" s="11">
        <f t="shared" si="3"/>
        <v>6.5682870357704815E-2</v>
      </c>
    </row>
    <row r="32" spans="1:14" x14ac:dyDescent="0.45">
      <c r="A32" s="3" t="s">
        <v>468</v>
      </c>
      <c r="B32" s="3" t="s">
        <v>283</v>
      </c>
      <c r="C32" s="3" t="s">
        <v>819</v>
      </c>
      <c r="D32" s="3">
        <v>3</v>
      </c>
      <c r="E32" s="10">
        <v>45666.24931712963</v>
      </c>
      <c r="F32" s="10">
        <v>45666.280486111107</v>
      </c>
      <c r="G32" s="10">
        <v>45666.318356481483</v>
      </c>
      <c r="H32" s="10">
        <v>45666.346134259264</v>
      </c>
      <c r="I32" s="10">
        <v>45666.346134259264</v>
      </c>
      <c r="J32" s="10">
        <v>45666.347048611111</v>
      </c>
      <c r="K32" s="11">
        <f t="shared" si="0"/>
        <v>3.1168981477094349E-2</v>
      </c>
      <c r="L32" s="11">
        <f t="shared" si="1"/>
        <v>3.7870370375458151E-2</v>
      </c>
      <c r="M32" s="11">
        <f t="shared" si="2"/>
        <v>0</v>
      </c>
      <c r="N32" s="11">
        <f t="shared" si="3"/>
        <v>9.7731481480877846E-2</v>
      </c>
    </row>
    <row r="33" spans="1:14" x14ac:dyDescent="0.45">
      <c r="A33" s="3" t="s">
        <v>483</v>
      </c>
      <c r="B33" s="3" t="s">
        <v>354</v>
      </c>
      <c r="C33" s="3" t="s">
        <v>817</v>
      </c>
      <c r="D33" s="3">
        <v>3</v>
      </c>
      <c r="E33" s="10">
        <v>45666.468043981477</v>
      </c>
      <c r="F33" s="10">
        <v>45666.475416666668</v>
      </c>
      <c r="G33" s="10">
        <v>45666.477060185192</v>
      </c>
      <c r="H33" s="10">
        <v>45666.499282407407</v>
      </c>
      <c r="I33" s="10">
        <v>45666.499282407407</v>
      </c>
      <c r="J33" s="10">
        <v>45666.500081018523</v>
      </c>
      <c r="K33" s="11">
        <f t="shared" si="0"/>
        <v>7.3726851915125735E-3</v>
      </c>
      <c r="L33" s="11">
        <f t="shared" si="1"/>
        <v>1.643518524360843E-3</v>
      </c>
      <c r="M33" s="11">
        <f t="shared" si="2"/>
        <v>0</v>
      </c>
      <c r="N33" s="11">
        <f t="shared" si="3"/>
        <v>3.203703704639338E-2</v>
      </c>
    </row>
    <row r="34" spans="1:14" x14ac:dyDescent="0.45">
      <c r="A34" s="3" t="s">
        <v>490</v>
      </c>
      <c r="B34" s="3" t="s">
        <v>263</v>
      </c>
      <c r="C34" s="3" t="s">
        <v>813</v>
      </c>
      <c r="D34" s="3">
        <v>4</v>
      </c>
      <c r="E34" s="10">
        <v>45666.468912037039</v>
      </c>
      <c r="F34" s="10">
        <v>45666.484537037039</v>
      </c>
      <c r="G34" s="10">
        <v>45666.485405092593</v>
      </c>
      <c r="H34" s="10">
        <v>45666.521516203713</v>
      </c>
      <c r="I34" s="10">
        <v>45666.521516203713</v>
      </c>
      <c r="J34" s="10">
        <v>45666.522465277783</v>
      </c>
      <c r="K34" s="11">
        <f t="shared" ref="K34:K65" si="4">IF(AND(ISNUMBER(E34),ISNUMBER(F34)),(F34-E34),"")</f>
        <v>1.5625E-2</v>
      </c>
      <c r="L34" s="11">
        <f t="shared" ref="L34:L65" si="5">IF(AND(ISNUMBER(F34),ISNUMBER(G34)),(G34-F34),"")</f>
        <v>8.6805555474711582E-4</v>
      </c>
      <c r="M34" s="11">
        <f t="shared" ref="M34:M65" si="6">IF(AND(ISNUMBER(H34),ISNUMBER(I34)),(I34-H34),"")</f>
        <v>0</v>
      </c>
      <c r="N34" s="11">
        <f t="shared" ref="N34:N65" si="7">IF(AND(ISNUMBER(E34),ISNUMBER(J34)),(J34-E34),"")</f>
        <v>5.3553240744804498E-2</v>
      </c>
    </row>
    <row r="35" spans="1:14" x14ac:dyDescent="0.45">
      <c r="A35" s="3" t="s">
        <v>507</v>
      </c>
      <c r="B35" s="3" t="s">
        <v>354</v>
      </c>
      <c r="C35" s="3" t="s">
        <v>817</v>
      </c>
      <c r="D35" s="3">
        <v>3</v>
      </c>
      <c r="E35" s="10">
        <v>45666.554062499999</v>
      </c>
      <c r="F35" s="10">
        <v>45666.565347222233</v>
      </c>
      <c r="G35" s="10">
        <v>45666.56622685185</v>
      </c>
      <c r="H35" s="10">
        <v>45666.602337962962</v>
      </c>
      <c r="I35" s="10">
        <v>45666.602337962962</v>
      </c>
      <c r="J35" s="10">
        <v>45666.603321759263</v>
      </c>
      <c r="K35" s="11">
        <f t="shared" si="4"/>
        <v>1.1284722233540379E-2</v>
      </c>
      <c r="L35" s="11">
        <f t="shared" si="5"/>
        <v>8.7962961697485298E-4</v>
      </c>
      <c r="M35" s="11">
        <f t="shared" si="6"/>
        <v>0</v>
      </c>
      <c r="N35" s="11">
        <f t="shared" si="7"/>
        <v>4.9259259263635613E-2</v>
      </c>
    </row>
    <row r="36" spans="1:14" x14ac:dyDescent="0.45">
      <c r="A36" s="3" t="s">
        <v>502</v>
      </c>
      <c r="B36" s="3" t="s">
        <v>283</v>
      </c>
      <c r="C36" s="3" t="s">
        <v>813</v>
      </c>
      <c r="D36" s="3">
        <v>4</v>
      </c>
      <c r="E36" s="10">
        <v>45666.552245370367</v>
      </c>
      <c r="F36" s="10">
        <v>45666.570324074077</v>
      </c>
      <c r="G36" s="10">
        <v>45666.572187500002</v>
      </c>
      <c r="H36" s="10">
        <v>45666.602743055562</v>
      </c>
      <c r="I36" s="10">
        <v>45666.604201388887</v>
      </c>
      <c r="J36" s="10">
        <v>45666.605081018519</v>
      </c>
      <c r="K36" s="11">
        <f t="shared" si="4"/>
        <v>1.8078703709761612E-2</v>
      </c>
      <c r="L36" s="11">
        <f t="shared" si="5"/>
        <v>1.8634259249665774E-3</v>
      </c>
      <c r="M36" s="11">
        <f t="shared" si="6"/>
        <v>1.4583333249902353E-3</v>
      </c>
      <c r="N36" s="11">
        <f t="shared" si="7"/>
        <v>5.2835648151813075E-2</v>
      </c>
    </row>
    <row r="37" spans="1:14" x14ac:dyDescent="0.45">
      <c r="A37" s="3" t="s">
        <v>461</v>
      </c>
      <c r="B37" s="3" t="s">
        <v>231</v>
      </c>
      <c r="C37" s="3" t="s">
        <v>818</v>
      </c>
      <c r="D37" s="3">
        <v>4</v>
      </c>
      <c r="E37" s="10">
        <v>45666.246157407397</v>
      </c>
      <c r="F37" s="10">
        <v>45666.572048611109</v>
      </c>
      <c r="G37" s="10">
        <v>45666.577708333331</v>
      </c>
      <c r="H37" s="10">
        <v>45666.602708333332</v>
      </c>
      <c r="I37" s="10">
        <v>45666.603321759263</v>
      </c>
      <c r="J37" s="10">
        <v>45666.604201388887</v>
      </c>
      <c r="K37" s="11">
        <f t="shared" si="4"/>
        <v>0.325891203712672</v>
      </c>
      <c r="L37" s="11">
        <f t="shared" si="5"/>
        <v>5.6597222210257314E-3</v>
      </c>
      <c r="M37" s="11">
        <f t="shared" si="6"/>
        <v>6.1342593107838184E-4</v>
      </c>
      <c r="N37" s="11">
        <f t="shared" si="7"/>
        <v>0.35804398149048211</v>
      </c>
    </row>
    <row r="38" spans="1:14" x14ac:dyDescent="0.45">
      <c r="A38" s="3" t="s">
        <v>495</v>
      </c>
      <c r="B38" s="3" t="s">
        <v>247</v>
      </c>
      <c r="C38" s="3" t="s">
        <v>816</v>
      </c>
      <c r="D38" s="3">
        <v>3</v>
      </c>
      <c r="E38" s="10">
        <v>45666.471504629633</v>
      </c>
      <c r="F38" s="10">
        <v>45666.575972222221</v>
      </c>
      <c r="G38" s="10">
        <v>45666.604444444441</v>
      </c>
      <c r="H38" s="10">
        <v>45666.623888888891</v>
      </c>
      <c r="I38" s="10">
        <v>45666.623888888891</v>
      </c>
      <c r="J38" s="10">
        <v>45666.624583333331</v>
      </c>
      <c r="K38" s="11">
        <f t="shared" si="4"/>
        <v>0.10446759258775273</v>
      </c>
      <c r="L38" s="11">
        <f t="shared" si="5"/>
        <v>2.8472222220443655E-2</v>
      </c>
      <c r="M38" s="11">
        <f t="shared" si="6"/>
        <v>0</v>
      </c>
      <c r="N38" s="11">
        <f t="shared" si="7"/>
        <v>0.15307870369724697</v>
      </c>
    </row>
    <row r="39" spans="1:14" x14ac:dyDescent="0.45">
      <c r="A39" s="3" t="s">
        <v>527</v>
      </c>
      <c r="B39" s="3" t="s">
        <v>283</v>
      </c>
      <c r="C39" s="3" t="s">
        <v>819</v>
      </c>
      <c r="D39" s="3">
        <v>2</v>
      </c>
      <c r="E39" s="10">
        <v>45666.578611111108</v>
      </c>
      <c r="F39" s="10">
        <v>45666.614548611113</v>
      </c>
      <c r="G39" s="10">
        <v>45666.616261574083</v>
      </c>
      <c r="H39" s="10">
        <v>45666.641261574077</v>
      </c>
      <c r="I39" s="10">
        <v>45666.641759259262</v>
      </c>
      <c r="J39" s="10">
        <v>45666.642638888887</v>
      </c>
      <c r="K39" s="11">
        <f t="shared" si="4"/>
        <v>3.5937500004365575E-2</v>
      </c>
      <c r="L39" s="11">
        <f t="shared" si="5"/>
        <v>1.7129629704868421E-3</v>
      </c>
      <c r="M39" s="11">
        <f t="shared" si="6"/>
        <v>4.9768518510973081E-4</v>
      </c>
      <c r="N39" s="11">
        <f t="shared" si="7"/>
        <v>6.4027777778392192E-2</v>
      </c>
    </row>
    <row r="40" spans="1:14" x14ac:dyDescent="0.45">
      <c r="A40" s="3" t="s">
        <v>530</v>
      </c>
      <c r="B40" s="3" t="s">
        <v>237</v>
      </c>
      <c r="C40" s="3" t="s">
        <v>821</v>
      </c>
      <c r="D40" s="3">
        <v>2</v>
      </c>
      <c r="E40" s="10">
        <v>45666.579930555563</v>
      </c>
      <c r="F40" s="10">
        <v>45666.617349537039</v>
      </c>
      <c r="G40" s="10">
        <v>45666.621469907397</v>
      </c>
      <c r="H40" s="10">
        <v>45666.640914351847</v>
      </c>
      <c r="I40" s="10">
        <v>45666.640914351847</v>
      </c>
      <c r="J40" s="10">
        <v>45666.641759259262</v>
      </c>
      <c r="K40" s="11">
        <f t="shared" si="4"/>
        <v>3.7418981475639157E-2</v>
      </c>
      <c r="L40" s="11">
        <f t="shared" si="5"/>
        <v>4.1203703585779294E-3</v>
      </c>
      <c r="M40" s="11">
        <f t="shared" si="6"/>
        <v>0</v>
      </c>
      <c r="N40" s="11">
        <f t="shared" si="7"/>
        <v>6.1828703699575271E-2</v>
      </c>
    </row>
    <row r="41" spans="1:14" x14ac:dyDescent="0.45">
      <c r="A41" s="3" t="s">
        <v>535</v>
      </c>
      <c r="B41" s="3" t="s">
        <v>231</v>
      </c>
      <c r="C41" s="3" t="s">
        <v>822</v>
      </c>
      <c r="D41" s="3">
        <v>2</v>
      </c>
      <c r="E41" s="10">
        <v>45666.588472222233</v>
      </c>
      <c r="F41" s="10">
        <v>45666.61990740741</v>
      </c>
      <c r="G41" s="10">
        <v>45666.625625000001</v>
      </c>
      <c r="H41" s="10">
        <v>45666.647847222222</v>
      </c>
      <c r="I41" s="10">
        <v>45666.647847222222</v>
      </c>
      <c r="J41" s="10">
        <v>45666.648680555547</v>
      </c>
      <c r="K41" s="11">
        <f t="shared" si="4"/>
        <v>3.1435185177542735E-2</v>
      </c>
      <c r="L41" s="11">
        <f t="shared" si="5"/>
        <v>5.7175925903720781E-3</v>
      </c>
      <c r="M41" s="11">
        <f t="shared" si="6"/>
        <v>0</v>
      </c>
      <c r="N41" s="11">
        <f t="shared" si="7"/>
        <v>6.0208333314221818E-2</v>
      </c>
    </row>
    <row r="42" spans="1:14" x14ac:dyDescent="0.45">
      <c r="A42" s="3" t="s">
        <v>542</v>
      </c>
      <c r="B42" s="3" t="s">
        <v>354</v>
      </c>
      <c r="C42" s="3" t="s">
        <v>813</v>
      </c>
      <c r="D42" s="3">
        <v>2</v>
      </c>
      <c r="E42" s="10">
        <v>45666.800451388888</v>
      </c>
      <c r="F42" s="10">
        <v>45666.811932870369</v>
      </c>
      <c r="G42" s="10">
        <v>45666.816643518519</v>
      </c>
      <c r="H42" s="10">
        <v>45666.841643518521</v>
      </c>
      <c r="I42" s="10">
        <v>45666.841643518521</v>
      </c>
      <c r="J42" s="10">
        <v>45666.842442129629</v>
      </c>
      <c r="K42" s="11">
        <f t="shared" si="4"/>
        <v>1.1481481480586808E-2</v>
      </c>
      <c r="L42" s="11">
        <f t="shared" si="5"/>
        <v>4.7106481506489217E-3</v>
      </c>
      <c r="M42" s="11">
        <f t="shared" si="6"/>
        <v>0</v>
      </c>
      <c r="N42" s="11">
        <f t="shared" si="7"/>
        <v>4.1990740741312038E-2</v>
      </c>
    </row>
    <row r="43" spans="1:14" x14ac:dyDescent="0.45">
      <c r="A43" s="3" t="s">
        <v>547</v>
      </c>
      <c r="B43" s="3" t="s">
        <v>283</v>
      </c>
      <c r="C43" s="3" t="s">
        <v>816</v>
      </c>
      <c r="D43" s="3">
        <v>3</v>
      </c>
      <c r="E43" s="10">
        <v>45666.809155092589</v>
      </c>
      <c r="F43" s="10">
        <v>45666.823553240742</v>
      </c>
      <c r="G43" s="10">
        <v>45666.824421296304</v>
      </c>
      <c r="H43" s="10">
        <v>45666.85497685185</v>
      </c>
      <c r="I43" s="10">
        <v>45666.85497685185</v>
      </c>
      <c r="J43" s="10">
        <v>45666.855821759258</v>
      </c>
      <c r="K43" s="11">
        <f t="shared" si="4"/>
        <v>1.4398148152395152E-2</v>
      </c>
      <c r="L43" s="11">
        <f t="shared" si="5"/>
        <v>8.6805556202307343E-4</v>
      </c>
      <c r="M43" s="11">
        <f t="shared" si="6"/>
        <v>0</v>
      </c>
      <c r="N43" s="11">
        <f t="shared" si="7"/>
        <v>4.666666666889796E-2</v>
      </c>
    </row>
    <row r="44" spans="1:14" x14ac:dyDescent="0.45">
      <c r="A44" s="3" t="s">
        <v>522</v>
      </c>
      <c r="B44" s="3" t="s">
        <v>263</v>
      </c>
      <c r="C44" s="3" t="s">
        <v>815</v>
      </c>
      <c r="D44" s="3">
        <v>5</v>
      </c>
      <c r="E44" s="10">
        <v>45666.566840277781</v>
      </c>
      <c r="F44" s="10">
        <v>45666.957453703697</v>
      </c>
      <c r="G44" s="10">
        <v>45666.958321759259</v>
      </c>
      <c r="H44" s="10">
        <v>45666.991655092592</v>
      </c>
      <c r="I44" s="10">
        <v>45666.991655092592</v>
      </c>
      <c r="J44" s="10">
        <v>45666.992696759262</v>
      </c>
      <c r="K44" s="11">
        <f t="shared" si="4"/>
        <v>0.39061342591594439</v>
      </c>
      <c r="L44" s="11">
        <f t="shared" si="5"/>
        <v>8.6805556202307343E-4</v>
      </c>
      <c r="M44" s="11">
        <f t="shared" si="6"/>
        <v>0</v>
      </c>
      <c r="N44" s="11">
        <f t="shared" si="7"/>
        <v>0.42585648148087785</v>
      </c>
    </row>
    <row r="45" spans="1:14" x14ac:dyDescent="0.45">
      <c r="A45" s="3" t="s">
        <v>351</v>
      </c>
      <c r="B45" s="3" t="s">
        <v>350</v>
      </c>
      <c r="C45" s="3" t="s">
        <v>814</v>
      </c>
      <c r="D45" s="3">
        <v>3</v>
      </c>
      <c r="E45" s="10">
        <v>45665.237361111111</v>
      </c>
      <c r="F45" s="10">
        <v>45667.337592592587</v>
      </c>
      <c r="G45" s="10">
        <v>45667.338460648149</v>
      </c>
      <c r="H45" s="10">
        <v>45667.360682870371</v>
      </c>
      <c r="I45" s="10">
        <v>45667.360682870371</v>
      </c>
      <c r="J45" s="10">
        <v>45667.361377314817</v>
      </c>
      <c r="K45" s="11">
        <f t="shared" si="4"/>
        <v>2.1002314814759302</v>
      </c>
      <c r="L45" s="11">
        <f t="shared" si="5"/>
        <v>8.6805556202307343E-4</v>
      </c>
      <c r="M45" s="11">
        <f t="shared" si="6"/>
        <v>0</v>
      </c>
      <c r="N45" s="11">
        <f t="shared" si="7"/>
        <v>2.1240162037065602</v>
      </c>
    </row>
    <row r="46" spans="1:14" x14ac:dyDescent="0.45">
      <c r="A46" s="3" t="s">
        <v>567</v>
      </c>
      <c r="B46" s="3" t="s">
        <v>231</v>
      </c>
      <c r="C46" s="3" t="s">
        <v>813</v>
      </c>
      <c r="D46" s="3">
        <v>3</v>
      </c>
      <c r="E46" s="10">
        <v>45667.303877314807</v>
      </c>
      <c r="F46" s="10">
        <v>45667.399212962962</v>
      </c>
      <c r="G46" s="10">
        <v>45667.400069444448</v>
      </c>
      <c r="H46" s="10">
        <v>45667.425069444442</v>
      </c>
      <c r="I46" s="10">
        <v>45667.425069444442</v>
      </c>
      <c r="J46" s="10">
        <v>45667.425868055558</v>
      </c>
      <c r="K46" s="11">
        <f t="shared" si="4"/>
        <v>9.5335648155014496E-2</v>
      </c>
      <c r="L46" s="11">
        <f t="shared" si="5"/>
        <v>8.5648148524342105E-4</v>
      </c>
      <c r="M46" s="11">
        <f t="shared" si="6"/>
        <v>0</v>
      </c>
      <c r="N46" s="11">
        <f t="shared" si="7"/>
        <v>0.12199074075033423</v>
      </c>
    </row>
    <row r="47" spans="1:14" x14ac:dyDescent="0.45">
      <c r="A47" s="3" t="s">
        <v>597</v>
      </c>
      <c r="B47" s="3" t="s">
        <v>247</v>
      </c>
      <c r="C47" s="3" t="s">
        <v>813</v>
      </c>
      <c r="D47" s="3">
        <v>3</v>
      </c>
      <c r="E47" s="10">
        <v>45667.554062499999</v>
      </c>
      <c r="F47" s="10">
        <v>45667.563078703701</v>
      </c>
      <c r="G47" s="10">
        <v>45667.568067129629</v>
      </c>
      <c r="H47" s="10">
        <v>45667.590289351851</v>
      </c>
      <c r="I47" s="10">
        <v>45667.590289351851</v>
      </c>
      <c r="J47" s="10">
        <v>45667.591053240743</v>
      </c>
      <c r="K47" s="11">
        <f t="shared" si="4"/>
        <v>9.0162037013215013E-3</v>
      </c>
      <c r="L47" s="11">
        <f t="shared" si="5"/>
        <v>4.9884259278769605E-3</v>
      </c>
      <c r="M47" s="11">
        <f t="shared" si="6"/>
        <v>0</v>
      </c>
      <c r="N47" s="11">
        <f t="shared" si="7"/>
        <v>3.6990740743931383E-2</v>
      </c>
    </row>
    <row r="48" spans="1:14" x14ac:dyDescent="0.45">
      <c r="A48" s="3" t="s">
        <v>580</v>
      </c>
      <c r="B48" s="3" t="s">
        <v>263</v>
      </c>
      <c r="C48" s="3" t="s">
        <v>819</v>
      </c>
      <c r="D48" s="3">
        <v>3</v>
      </c>
      <c r="E48" s="10">
        <v>45667.328067129631</v>
      </c>
      <c r="F48" s="10">
        <v>45667.566377314812</v>
      </c>
      <c r="G48" s="10">
        <v>45667.570462962962</v>
      </c>
      <c r="H48" s="10">
        <v>45667.592685185176</v>
      </c>
      <c r="I48" s="10">
        <v>45667.592685185176</v>
      </c>
      <c r="J48" s="10">
        <v>45667.593518518523</v>
      </c>
      <c r="K48" s="11">
        <f t="shared" si="4"/>
        <v>0.23831018518103519</v>
      </c>
      <c r="L48" s="11">
        <f t="shared" si="5"/>
        <v>4.0856481500668451E-3</v>
      </c>
      <c r="M48" s="11">
        <f t="shared" si="6"/>
        <v>0</v>
      </c>
      <c r="N48" s="11">
        <f t="shared" si="7"/>
        <v>0.26545138889196096</v>
      </c>
    </row>
    <row r="49" spans="1:14" x14ac:dyDescent="0.45">
      <c r="A49" s="3" t="s">
        <v>552</v>
      </c>
      <c r="B49" s="3" t="s">
        <v>237</v>
      </c>
      <c r="C49" s="3" t="s">
        <v>817</v>
      </c>
      <c r="D49" s="3">
        <v>3</v>
      </c>
      <c r="E49" s="10">
        <v>45666.810682870368</v>
      </c>
      <c r="F49" s="10">
        <v>45667.568645833337</v>
      </c>
      <c r="G49" s="10">
        <v>45667.575150462973</v>
      </c>
      <c r="H49" s="10">
        <v>45667.605706018519</v>
      </c>
      <c r="I49" s="10">
        <v>45667.605706018519</v>
      </c>
      <c r="J49" s="10">
        <v>45667.606608796297</v>
      </c>
      <c r="K49" s="11">
        <f t="shared" si="4"/>
        <v>0.75796296296903165</v>
      </c>
      <c r="L49" s="11">
        <f t="shared" si="5"/>
        <v>6.5046296367654577E-3</v>
      </c>
      <c r="M49" s="11">
        <f t="shared" si="6"/>
        <v>0</v>
      </c>
      <c r="N49" s="11">
        <f t="shared" si="7"/>
        <v>0.79592592592962319</v>
      </c>
    </row>
    <row r="50" spans="1:14" x14ac:dyDescent="0.45">
      <c r="A50" s="3" t="s">
        <v>594</v>
      </c>
      <c r="B50" s="3" t="s">
        <v>231</v>
      </c>
      <c r="C50" s="3" t="s">
        <v>818</v>
      </c>
      <c r="D50" s="3">
        <v>3</v>
      </c>
      <c r="E50" s="10">
        <v>45667.391365740739</v>
      </c>
      <c r="F50" s="10">
        <v>45667.568819444437</v>
      </c>
      <c r="G50" s="10">
        <v>45667.591990740737</v>
      </c>
      <c r="H50" s="10">
        <v>45667.614212962973</v>
      </c>
      <c r="I50" s="10">
        <v>45667.614212962973</v>
      </c>
      <c r="J50" s="10">
        <v>45667.615057870367</v>
      </c>
      <c r="K50" s="11">
        <f t="shared" si="4"/>
        <v>0.17745370369812008</v>
      </c>
      <c r="L50" s="11">
        <f t="shared" si="5"/>
        <v>2.3171296299551614E-2</v>
      </c>
      <c r="M50" s="11">
        <f t="shared" si="6"/>
        <v>0</v>
      </c>
      <c r="N50" s="11">
        <f t="shared" si="7"/>
        <v>0.22369212962803431</v>
      </c>
    </row>
    <row r="51" spans="1:14" x14ac:dyDescent="0.45">
      <c r="A51" s="3" t="s">
        <v>577</v>
      </c>
      <c r="B51" s="3" t="s">
        <v>283</v>
      </c>
      <c r="C51" s="3" t="s">
        <v>815</v>
      </c>
      <c r="D51" s="3">
        <v>3</v>
      </c>
      <c r="E51" s="10">
        <v>45667.326840277783</v>
      </c>
      <c r="F51" s="10">
        <v>45667.573414351849</v>
      </c>
      <c r="G51" s="10">
        <v>45667.594421296293</v>
      </c>
      <c r="H51" s="10">
        <v>45667.624976851846</v>
      </c>
      <c r="I51" s="10">
        <v>45667.624976851846</v>
      </c>
      <c r="J51" s="10">
        <v>45667.625972222217</v>
      </c>
      <c r="K51" s="11">
        <f t="shared" si="4"/>
        <v>0.24657407406630227</v>
      </c>
      <c r="L51" s="11">
        <f t="shared" si="5"/>
        <v>2.1006944443797693E-2</v>
      </c>
      <c r="M51" s="11">
        <f t="shared" si="6"/>
        <v>0</v>
      </c>
      <c r="N51" s="11">
        <f t="shared" si="7"/>
        <v>0.29913194443361135</v>
      </c>
    </row>
    <row r="52" spans="1:14" x14ac:dyDescent="0.45">
      <c r="A52" s="3" t="s">
        <v>570</v>
      </c>
      <c r="B52" s="3" t="s">
        <v>354</v>
      </c>
      <c r="C52" s="3" t="s">
        <v>816</v>
      </c>
      <c r="D52" s="3">
        <v>3</v>
      </c>
      <c r="E52" s="10">
        <v>45667.304814814823</v>
      </c>
      <c r="F52" s="10">
        <v>45667.645694444444</v>
      </c>
      <c r="G52" s="10">
        <v>45667.646562499998</v>
      </c>
      <c r="H52" s="10">
        <v>45667.66878472222</v>
      </c>
      <c r="I52" s="10">
        <v>45667.66878472222</v>
      </c>
      <c r="J52" s="10">
        <v>45667.66951388889</v>
      </c>
      <c r="K52" s="11">
        <f t="shared" si="4"/>
        <v>0.34087962962075835</v>
      </c>
      <c r="L52" s="11">
        <f t="shared" si="5"/>
        <v>8.6805555474711582E-4</v>
      </c>
      <c r="M52" s="11">
        <f t="shared" si="6"/>
        <v>0</v>
      </c>
      <c r="N52" s="11">
        <f t="shared" si="7"/>
        <v>0.36469907406717539</v>
      </c>
    </row>
    <row r="53" spans="1:14" x14ac:dyDescent="0.45">
      <c r="A53" s="3" t="s">
        <v>624</v>
      </c>
      <c r="B53" s="3" t="s">
        <v>231</v>
      </c>
      <c r="C53" s="3" t="s">
        <v>817</v>
      </c>
      <c r="D53" s="3">
        <v>2</v>
      </c>
      <c r="E53" s="10">
        <v>45667.639884259261</v>
      </c>
      <c r="F53" s="10">
        <v>45667.652627314812</v>
      </c>
      <c r="G53" s="10">
        <v>45667.65347222222</v>
      </c>
      <c r="H53" s="10">
        <v>45667.675694444442</v>
      </c>
      <c r="I53" s="10">
        <v>45667.675694444442</v>
      </c>
      <c r="J53" s="10">
        <v>45667.676493055558</v>
      </c>
      <c r="K53" s="11">
        <f t="shared" si="4"/>
        <v>1.2743055551254656E-2</v>
      </c>
      <c r="L53" s="11">
        <f t="shared" si="5"/>
        <v>8.4490740846376866E-4</v>
      </c>
      <c r="M53" s="11">
        <f t="shared" si="6"/>
        <v>0</v>
      </c>
      <c r="N53" s="11">
        <f t="shared" si="7"/>
        <v>3.6608796297514345E-2</v>
      </c>
    </row>
    <row r="54" spans="1:14" x14ac:dyDescent="0.45">
      <c r="A54" s="3" t="s">
        <v>629</v>
      </c>
      <c r="B54" s="3" t="s">
        <v>263</v>
      </c>
      <c r="C54" s="3" t="s">
        <v>815</v>
      </c>
      <c r="D54" s="3">
        <v>3</v>
      </c>
      <c r="E54" s="10">
        <v>45667.662719907406</v>
      </c>
      <c r="F54" s="10">
        <v>45667.676944444444</v>
      </c>
      <c r="G54" s="10">
        <v>45667.677812499998</v>
      </c>
      <c r="H54" s="10">
        <v>45667.705590277779</v>
      </c>
      <c r="I54" s="10">
        <v>45667.705590277779</v>
      </c>
      <c r="J54" s="10">
        <v>45667.706550925926</v>
      </c>
      <c r="K54" s="11">
        <f t="shared" si="4"/>
        <v>1.4224537037080154E-2</v>
      </c>
      <c r="L54" s="11">
        <f t="shared" si="5"/>
        <v>8.6805555474711582E-4</v>
      </c>
      <c r="M54" s="11">
        <f t="shared" si="6"/>
        <v>0</v>
      </c>
      <c r="N54" s="11">
        <f t="shared" si="7"/>
        <v>4.3831018519995268E-2</v>
      </c>
    </row>
    <row r="55" spans="1:14" x14ac:dyDescent="0.45">
      <c r="A55" s="3" t="s">
        <v>478</v>
      </c>
      <c r="B55" s="3" t="s">
        <v>255</v>
      </c>
      <c r="C55" s="3" t="s">
        <v>820</v>
      </c>
      <c r="D55" s="3">
        <v>3</v>
      </c>
      <c r="E55" s="10">
        <v>45666.257152777784</v>
      </c>
      <c r="F55" s="10">
        <v>45667.703483796293</v>
      </c>
      <c r="G55" s="10">
        <v>45667.704270833332</v>
      </c>
      <c r="H55" s="10">
        <v>45667.732048611113</v>
      </c>
      <c r="I55" s="10">
        <v>45667.732048611113</v>
      </c>
      <c r="J55" s="10">
        <v>45667.732928240737</v>
      </c>
      <c r="K55" s="11">
        <f t="shared" si="4"/>
        <v>1.4463310185092269</v>
      </c>
      <c r="L55" s="11">
        <f t="shared" si="5"/>
        <v>7.8703703911742195E-4</v>
      </c>
      <c r="M55" s="11">
        <f t="shared" si="6"/>
        <v>0</v>
      </c>
      <c r="N55" s="11">
        <f t="shared" si="7"/>
        <v>1.4757754629536066</v>
      </c>
    </row>
    <row r="56" spans="1:14" x14ac:dyDescent="0.45">
      <c r="A56" s="3" t="s">
        <v>606</v>
      </c>
      <c r="B56" s="3" t="s">
        <v>247</v>
      </c>
      <c r="C56" s="3" t="s">
        <v>821</v>
      </c>
      <c r="D56" s="3">
        <v>3</v>
      </c>
      <c r="E56" s="10">
        <v>45667.556655092587</v>
      </c>
      <c r="F56" s="10">
        <v>45667.704699074071</v>
      </c>
      <c r="G56" s="10">
        <v>45667.706412037027</v>
      </c>
      <c r="H56" s="10">
        <v>45667.736967592587</v>
      </c>
      <c r="I56" s="10">
        <v>45667.736967592587</v>
      </c>
      <c r="J56" s="10">
        <v>45667.737962962958</v>
      </c>
      <c r="K56" s="11">
        <f t="shared" si="4"/>
        <v>0.14804398148407927</v>
      </c>
      <c r="L56" s="11">
        <f t="shared" si="5"/>
        <v>1.7129629559349269E-3</v>
      </c>
      <c r="M56" s="11">
        <f t="shared" si="6"/>
        <v>0</v>
      </c>
      <c r="N56" s="11">
        <f t="shared" si="7"/>
        <v>0.18130787037080154</v>
      </c>
    </row>
    <row r="57" spans="1:14" x14ac:dyDescent="0.45">
      <c r="A57" s="3" t="s">
        <v>660</v>
      </c>
      <c r="B57" s="3" t="s">
        <v>231</v>
      </c>
      <c r="C57" s="3" t="s">
        <v>818</v>
      </c>
      <c r="D57" s="3">
        <v>3</v>
      </c>
      <c r="E57" s="10">
        <v>45667.94803240741</v>
      </c>
      <c r="F57" s="10">
        <v>45668.272581018522</v>
      </c>
      <c r="G57" s="10">
        <v>45668.273414351846</v>
      </c>
      <c r="H57" s="10">
        <v>45668.298414351862</v>
      </c>
      <c r="I57" s="10">
        <v>45668.298414351862</v>
      </c>
      <c r="J57" s="10">
        <v>45668.299293981479</v>
      </c>
      <c r="K57" s="11">
        <f t="shared" si="4"/>
        <v>0.32454861111182254</v>
      </c>
      <c r="L57" s="11">
        <f t="shared" si="5"/>
        <v>8.3333332440815866E-4</v>
      </c>
      <c r="M57" s="11">
        <f t="shared" si="6"/>
        <v>0</v>
      </c>
      <c r="N57" s="11">
        <f t="shared" si="7"/>
        <v>0.35126157406921266</v>
      </c>
    </row>
    <row r="58" spans="1:14" x14ac:dyDescent="0.45">
      <c r="A58" s="3" t="s">
        <v>619</v>
      </c>
      <c r="B58" s="3" t="s">
        <v>237</v>
      </c>
      <c r="C58" s="3" t="s">
        <v>813</v>
      </c>
      <c r="D58" s="3">
        <v>3</v>
      </c>
      <c r="E58" s="10">
        <v>45667.637314814812</v>
      </c>
      <c r="F58" s="10">
        <v>45668.276932870373</v>
      </c>
      <c r="G58" s="10">
        <v>45668.277800925927</v>
      </c>
      <c r="H58" s="10">
        <v>45668.29724537037</v>
      </c>
      <c r="I58" s="10">
        <v>45668.29724537037</v>
      </c>
      <c r="J58" s="10">
        <v>45668.297962962963</v>
      </c>
      <c r="K58" s="11">
        <f t="shared" si="4"/>
        <v>0.63961805556027684</v>
      </c>
      <c r="L58" s="11">
        <f t="shared" si="5"/>
        <v>8.6805555474711582E-4</v>
      </c>
      <c r="M58" s="11">
        <f t="shared" si="6"/>
        <v>0</v>
      </c>
      <c r="N58" s="11">
        <f t="shared" si="7"/>
        <v>0.66064814815035788</v>
      </c>
    </row>
    <row r="59" spans="1:14" x14ac:dyDescent="0.45">
      <c r="A59" s="3" t="s">
        <v>674</v>
      </c>
      <c r="B59" s="3" t="s">
        <v>237</v>
      </c>
      <c r="C59" s="3" t="s">
        <v>821</v>
      </c>
      <c r="D59" s="3">
        <v>4</v>
      </c>
      <c r="E59" s="10">
        <v>45668.271111111113</v>
      </c>
      <c r="F59" s="10">
        <v>45668.294571759259</v>
      </c>
      <c r="G59" s="10">
        <v>45668.296203703707</v>
      </c>
      <c r="H59" s="10">
        <v>45668.32675925926</v>
      </c>
      <c r="I59" s="10">
        <v>45668.32675925926</v>
      </c>
      <c r="J59" s="10">
        <v>45668.327766203707</v>
      </c>
      <c r="K59" s="11">
        <f t="shared" si="4"/>
        <v>2.3460648146283347E-2</v>
      </c>
      <c r="L59" s="11">
        <f t="shared" si="5"/>
        <v>1.6319444475811906E-3</v>
      </c>
      <c r="M59" s="11">
        <f t="shared" si="6"/>
        <v>0</v>
      </c>
      <c r="N59" s="11">
        <f t="shared" si="7"/>
        <v>5.6655092594155576E-2</v>
      </c>
    </row>
    <row r="60" spans="1:14" x14ac:dyDescent="0.45">
      <c r="A60" s="3" t="s">
        <v>657</v>
      </c>
      <c r="B60" s="3" t="s">
        <v>255</v>
      </c>
      <c r="C60" s="3" t="s">
        <v>819</v>
      </c>
      <c r="D60" s="3">
        <v>5</v>
      </c>
      <c r="E60" s="10">
        <v>45667.94667824074</v>
      </c>
      <c r="F60" s="10">
        <v>45668.307291666657</v>
      </c>
      <c r="G60" s="10">
        <v>45668.308159722219</v>
      </c>
      <c r="H60" s="10">
        <v>45668.33871527778</v>
      </c>
      <c r="I60" s="10">
        <v>45668.33871527778</v>
      </c>
      <c r="J60" s="10">
        <v>45668.33965277778</v>
      </c>
      <c r="K60" s="11">
        <f t="shared" si="4"/>
        <v>0.36061342591710854</v>
      </c>
      <c r="L60" s="11">
        <f t="shared" si="5"/>
        <v>8.6805556202307343E-4</v>
      </c>
      <c r="M60" s="11">
        <f t="shared" si="6"/>
        <v>0</v>
      </c>
      <c r="N60" s="11">
        <f t="shared" si="7"/>
        <v>0.39297453704057261</v>
      </c>
    </row>
    <row r="61" spans="1:14" x14ac:dyDescent="0.45">
      <c r="A61" s="3" t="s">
        <v>649</v>
      </c>
      <c r="B61" s="3" t="s">
        <v>263</v>
      </c>
      <c r="C61" s="3" t="s">
        <v>817</v>
      </c>
      <c r="D61" s="3">
        <v>3</v>
      </c>
      <c r="E61" s="10">
        <v>45667.842523148152</v>
      </c>
      <c r="F61" s="10">
        <v>45668.318692129629</v>
      </c>
      <c r="G61" s="10">
        <v>45668.326319444437</v>
      </c>
      <c r="H61" s="10">
        <v>45668.348541666674</v>
      </c>
      <c r="I61" s="10">
        <v>45668.348541666674</v>
      </c>
      <c r="J61" s="10">
        <v>45668.349340277768</v>
      </c>
      <c r="K61" s="11">
        <f t="shared" si="4"/>
        <v>0.47616898147680331</v>
      </c>
      <c r="L61" s="11">
        <f t="shared" si="5"/>
        <v>7.6273148079053499E-3</v>
      </c>
      <c r="M61" s="11">
        <f t="shared" si="6"/>
        <v>0</v>
      </c>
      <c r="N61" s="11">
        <f t="shared" si="7"/>
        <v>0.50681712961522862</v>
      </c>
    </row>
    <row r="62" spans="1:14" x14ac:dyDescent="0.45">
      <c r="A62" s="3" t="s">
        <v>642</v>
      </c>
      <c r="B62" s="3" t="s">
        <v>354</v>
      </c>
      <c r="C62" s="3" t="s">
        <v>816</v>
      </c>
      <c r="D62" s="3">
        <v>3</v>
      </c>
      <c r="E62" s="10">
        <v>45667.713969907411</v>
      </c>
      <c r="F62" s="10">
        <v>45668.515185185177</v>
      </c>
      <c r="G62" s="10">
        <v>45668.516018518523</v>
      </c>
      <c r="H62" s="10">
        <v>45668.538240740738</v>
      </c>
      <c r="I62" s="10">
        <v>45668.538240740738</v>
      </c>
      <c r="J62" s="10">
        <v>45668.538958333331</v>
      </c>
      <c r="K62" s="11">
        <f t="shared" si="4"/>
        <v>0.80121527776645962</v>
      </c>
      <c r="L62" s="11">
        <f t="shared" si="5"/>
        <v>8.333333462360315E-4</v>
      </c>
      <c r="M62" s="11">
        <f t="shared" si="6"/>
        <v>0</v>
      </c>
      <c r="N62" s="11">
        <f t="shared" si="7"/>
        <v>0.82498842592030996</v>
      </c>
    </row>
    <row r="63" spans="1:14" x14ac:dyDescent="0.45">
      <c r="A63" s="3" t="s">
        <v>654</v>
      </c>
      <c r="B63" s="3" t="s">
        <v>283</v>
      </c>
      <c r="C63" s="3" t="s">
        <v>815</v>
      </c>
      <c r="D63" s="3">
        <v>3</v>
      </c>
      <c r="E63" s="10">
        <v>45667.843761574077</v>
      </c>
      <c r="F63" s="10">
        <v>45668.533854166657</v>
      </c>
      <c r="G63" s="10">
        <v>45668.535590277781</v>
      </c>
      <c r="H63" s="10">
        <v>45668.563368055547</v>
      </c>
      <c r="I63" s="10">
        <v>45668.563368055547</v>
      </c>
      <c r="J63" s="10">
        <v>45668.564328703702</v>
      </c>
      <c r="K63" s="11">
        <f t="shared" si="4"/>
        <v>0.69009259258018574</v>
      </c>
      <c r="L63" s="11">
        <f t="shared" si="5"/>
        <v>1.7361111240461469E-3</v>
      </c>
      <c r="M63" s="11">
        <f t="shared" si="6"/>
        <v>0</v>
      </c>
      <c r="N63" s="11">
        <f t="shared" si="7"/>
        <v>0.72056712962512393</v>
      </c>
    </row>
    <row r="64" spans="1:14" x14ac:dyDescent="0.45">
      <c r="A64" s="3" t="s">
        <v>591</v>
      </c>
      <c r="B64" s="3" t="s">
        <v>350</v>
      </c>
      <c r="C64" s="3" t="s">
        <v>814</v>
      </c>
      <c r="D64" s="3">
        <v>3</v>
      </c>
      <c r="E64" s="10">
        <v>45667.389976851853</v>
      </c>
      <c r="F64" s="10">
        <v>45668.542905092603</v>
      </c>
      <c r="G64" s="10">
        <v>45668.544629629629</v>
      </c>
      <c r="H64" s="10">
        <v>45668.56962962963</v>
      </c>
      <c r="I64" s="10">
        <v>45668.56962962963</v>
      </c>
      <c r="J64" s="10">
        <v>45668.5703587963</v>
      </c>
      <c r="K64" s="11">
        <f t="shared" si="4"/>
        <v>1.1529282407500432</v>
      </c>
      <c r="L64" s="11">
        <f t="shared" si="5"/>
        <v>1.7245370254386216E-3</v>
      </c>
      <c r="M64" s="11">
        <f t="shared" si="6"/>
        <v>0</v>
      </c>
      <c r="N64" s="11">
        <f t="shared" si="7"/>
        <v>1.1803819444467081</v>
      </c>
    </row>
    <row r="65" spans="1:14" x14ac:dyDescent="0.45">
      <c r="A65" s="3" t="s">
        <v>693</v>
      </c>
      <c r="B65" s="3" t="s">
        <v>263</v>
      </c>
      <c r="C65" s="3" t="s">
        <v>813</v>
      </c>
      <c r="D65" s="3">
        <v>3</v>
      </c>
      <c r="E65" s="10">
        <v>45668.315671296303</v>
      </c>
      <c r="F65" s="10">
        <v>45668.542939814812</v>
      </c>
      <c r="G65" s="10">
        <v>45668.546469907407</v>
      </c>
      <c r="H65" s="10">
        <v>45668.574247685188</v>
      </c>
      <c r="I65" s="10">
        <v>45668.574247685188</v>
      </c>
      <c r="J65" s="10">
        <v>45668.575092592589</v>
      </c>
      <c r="K65" s="11">
        <f t="shared" si="4"/>
        <v>0.22726851850893581</v>
      </c>
      <c r="L65" s="11">
        <f t="shared" si="5"/>
        <v>3.5300925956107676E-3</v>
      </c>
      <c r="M65" s="11">
        <f t="shared" si="6"/>
        <v>0</v>
      </c>
      <c r="N65" s="11">
        <f t="shared" si="7"/>
        <v>0.25942129628674593</v>
      </c>
    </row>
    <row r="66" spans="1:14" x14ac:dyDescent="0.45">
      <c r="A66" s="3" t="s">
        <v>696</v>
      </c>
      <c r="B66" s="3" t="s">
        <v>237</v>
      </c>
      <c r="C66" s="3" t="s">
        <v>817</v>
      </c>
      <c r="D66" s="3">
        <v>2</v>
      </c>
      <c r="E66" s="10">
        <v>45668.508518518523</v>
      </c>
      <c r="F66" s="10">
        <v>45668.544224537043</v>
      </c>
      <c r="G66" s="10">
        <v>45668.575925925928</v>
      </c>
      <c r="H66" s="10">
        <v>45668.595370370371</v>
      </c>
      <c r="I66" s="10">
        <v>45668.595370370371</v>
      </c>
      <c r="J66" s="10">
        <v>45668.596134259264</v>
      </c>
      <c r="K66" s="11">
        <f t="shared" ref="K66:K79" si="8">IF(AND(ISNUMBER(E66),ISNUMBER(F66)),(F66-E66),"")</f>
        <v>3.570601851970423E-2</v>
      </c>
      <c r="L66" s="11">
        <f t="shared" ref="L66:L79" si="9">IF(AND(ISNUMBER(F66),ISNUMBER(G66)),(G66-F66),"")</f>
        <v>3.1701388885267079E-2</v>
      </c>
      <c r="M66" s="11">
        <f t="shared" ref="M66:M79" si="10">IF(AND(ISNUMBER(H66),ISNUMBER(I66)),(I66-H66),"")</f>
        <v>0</v>
      </c>
      <c r="N66" s="11">
        <f t="shared" ref="N66:N79" si="11">IF(AND(ISNUMBER(E66),ISNUMBER(J66)),(J66-E66),"")</f>
        <v>8.7615740740147885E-2</v>
      </c>
    </row>
    <row r="67" spans="1:14" x14ac:dyDescent="0.45">
      <c r="A67" s="3" t="s">
        <v>718</v>
      </c>
      <c r="B67" s="3" t="s">
        <v>237</v>
      </c>
      <c r="C67" s="3" t="s">
        <v>818</v>
      </c>
      <c r="D67" s="3">
        <v>3</v>
      </c>
      <c r="E67" s="10">
        <v>45668.548645833333</v>
      </c>
      <c r="F67" s="10">
        <v>45668.584421296298</v>
      </c>
      <c r="G67" s="10">
        <v>45668.585266203707</v>
      </c>
      <c r="H67" s="10">
        <v>45668.61582175926</v>
      </c>
      <c r="I67" s="10">
        <v>45668.61582175926</v>
      </c>
      <c r="J67" s="10">
        <v>45668.616770833331</v>
      </c>
      <c r="K67" s="11">
        <f t="shared" si="8"/>
        <v>3.5775462965830229E-2</v>
      </c>
      <c r="L67" s="11">
        <f t="shared" si="9"/>
        <v>8.4490740846376866E-4</v>
      </c>
      <c r="M67" s="11">
        <f t="shared" si="10"/>
        <v>0</v>
      </c>
      <c r="N67" s="11">
        <f t="shared" si="11"/>
        <v>6.8124999997962732E-2</v>
      </c>
    </row>
    <row r="68" spans="1:14" x14ac:dyDescent="0.45">
      <c r="A68" s="3" t="s">
        <v>728</v>
      </c>
      <c r="B68" s="3" t="s">
        <v>283</v>
      </c>
      <c r="C68" s="3" t="s">
        <v>816</v>
      </c>
      <c r="D68" s="3">
        <v>2</v>
      </c>
      <c r="E68" s="10">
        <v>45668.553020833337</v>
      </c>
      <c r="F68" s="10">
        <v>45668.900173611109</v>
      </c>
      <c r="G68" s="10">
        <v>45668.901041666657</v>
      </c>
      <c r="H68" s="10">
        <v>45668.920486111107</v>
      </c>
      <c r="I68" s="10">
        <v>45668.920486111107</v>
      </c>
      <c r="J68" s="10">
        <v>45668.921168981477</v>
      </c>
      <c r="K68" s="11">
        <f t="shared" si="8"/>
        <v>0.34715277777286246</v>
      </c>
      <c r="L68" s="11">
        <f t="shared" si="9"/>
        <v>8.6805554747115821E-4</v>
      </c>
      <c r="M68" s="11">
        <f t="shared" si="10"/>
        <v>0</v>
      </c>
      <c r="N68" s="11">
        <f t="shared" si="11"/>
        <v>0.3681481481398805</v>
      </c>
    </row>
    <row r="69" spans="1:14" x14ac:dyDescent="0.45">
      <c r="A69" s="3" t="s">
        <v>671</v>
      </c>
      <c r="B69" s="3" t="s">
        <v>231</v>
      </c>
      <c r="C69" s="3" t="s">
        <v>820</v>
      </c>
      <c r="D69" s="3">
        <v>6</v>
      </c>
      <c r="E69" s="10">
        <v>45668.269953703697</v>
      </c>
      <c r="F69" s="10">
        <v>45668.902407407397</v>
      </c>
      <c r="G69" s="10">
        <v>45668.903275462973</v>
      </c>
      <c r="H69" s="10">
        <v>45668.94771990741</v>
      </c>
      <c r="I69" s="10">
        <v>45668.94771990741</v>
      </c>
      <c r="J69" s="10">
        <v>45668.948819444442</v>
      </c>
      <c r="K69" s="11">
        <f t="shared" si="8"/>
        <v>0.63245370369986631</v>
      </c>
      <c r="L69" s="11">
        <f t="shared" si="9"/>
        <v>8.6805557657498866E-4</v>
      </c>
      <c r="M69" s="11">
        <f t="shared" si="10"/>
        <v>0</v>
      </c>
      <c r="N69" s="11">
        <f t="shared" si="11"/>
        <v>0.67886574074509554</v>
      </c>
    </row>
    <row r="70" spans="1:14" x14ac:dyDescent="0.45">
      <c r="A70" s="3" t="s">
        <v>750</v>
      </c>
      <c r="B70" s="3" t="s">
        <v>263</v>
      </c>
      <c r="C70" s="3" t="s">
        <v>816</v>
      </c>
      <c r="D70" s="3">
        <v>2</v>
      </c>
      <c r="E70" s="10">
        <v>45668.988159722219</v>
      </c>
      <c r="F70" s="10">
        <v>45668.997210648151</v>
      </c>
      <c r="G70" s="10">
        <v>45668.998078703713</v>
      </c>
      <c r="H70" s="10">
        <v>45669.020300925928</v>
      </c>
      <c r="I70" s="10">
        <v>45669.020300925928</v>
      </c>
      <c r="J70" s="10">
        <v>45669.02103009259</v>
      </c>
      <c r="K70" s="11">
        <f t="shared" si="8"/>
        <v>9.0509259316604584E-3</v>
      </c>
      <c r="L70" s="11">
        <f t="shared" si="9"/>
        <v>8.6805556202307343E-4</v>
      </c>
      <c r="M70" s="11">
        <f t="shared" si="10"/>
        <v>0</v>
      </c>
      <c r="N70" s="11">
        <f t="shared" si="11"/>
        <v>3.2870370370801538E-2</v>
      </c>
    </row>
    <row r="71" spans="1:14" x14ac:dyDescent="0.45">
      <c r="A71" s="3" t="s">
        <v>736</v>
      </c>
      <c r="B71" s="3" t="s">
        <v>255</v>
      </c>
      <c r="C71" s="3" t="s">
        <v>813</v>
      </c>
      <c r="D71" s="3">
        <v>3</v>
      </c>
      <c r="E71" s="10">
        <v>45668.758564814823</v>
      </c>
      <c r="F71" s="10">
        <v>45669.358576388891</v>
      </c>
      <c r="G71" s="10">
        <v>45669.359444444453</v>
      </c>
      <c r="H71" s="10">
        <v>45669.384444444448</v>
      </c>
      <c r="I71" s="10">
        <v>45669.384444444448</v>
      </c>
      <c r="J71" s="10">
        <v>45669.385243055563</v>
      </c>
      <c r="K71" s="11">
        <f t="shared" si="8"/>
        <v>0.6000115740680485</v>
      </c>
      <c r="L71" s="11">
        <f t="shared" si="9"/>
        <v>8.6805556202307343E-4</v>
      </c>
      <c r="M71" s="11">
        <f t="shared" si="10"/>
        <v>0</v>
      </c>
      <c r="N71" s="11">
        <f t="shared" si="11"/>
        <v>0.62667824074014788</v>
      </c>
    </row>
    <row r="72" spans="1:14" x14ac:dyDescent="0.45">
      <c r="A72" s="3" t="s">
        <v>715</v>
      </c>
      <c r="B72" s="3" t="s">
        <v>350</v>
      </c>
      <c r="C72" s="3" t="s">
        <v>819</v>
      </c>
      <c r="D72" s="3">
        <v>4</v>
      </c>
      <c r="E72" s="10">
        <v>45668.538101851853</v>
      </c>
      <c r="F72" s="10">
        <v>45669.359305555547</v>
      </c>
      <c r="G72" s="10">
        <v>45669.360162037039</v>
      </c>
      <c r="H72" s="10">
        <v>45669.387939814813</v>
      </c>
      <c r="I72" s="10">
        <v>45669.387939814813</v>
      </c>
      <c r="J72" s="10">
        <v>45669.388842592591</v>
      </c>
      <c r="K72" s="11">
        <f t="shared" si="8"/>
        <v>0.82120370369375451</v>
      </c>
      <c r="L72" s="11">
        <f t="shared" si="9"/>
        <v>8.5648149251937866E-4</v>
      </c>
      <c r="M72" s="11">
        <f t="shared" si="10"/>
        <v>0</v>
      </c>
      <c r="N72" s="11">
        <f t="shared" si="11"/>
        <v>0.85074074073781958</v>
      </c>
    </row>
    <row r="73" spans="1:14" x14ac:dyDescent="0.45">
      <c r="A73" s="3" t="s">
        <v>731</v>
      </c>
      <c r="B73" s="3" t="s">
        <v>247</v>
      </c>
      <c r="C73" s="3" t="s">
        <v>822</v>
      </c>
      <c r="D73" s="3">
        <v>2</v>
      </c>
      <c r="E73" s="10">
        <v>45668.554097222222</v>
      </c>
      <c r="F73" s="10">
        <v>45669.417337962957</v>
      </c>
      <c r="G73" s="10">
        <v>45669.418206018519</v>
      </c>
      <c r="H73" s="10">
        <v>45669.440428240741</v>
      </c>
      <c r="I73" s="10">
        <v>45669.440428240741</v>
      </c>
      <c r="J73" s="10">
        <v>45669.44127314815</v>
      </c>
      <c r="K73" s="11">
        <f t="shared" si="8"/>
        <v>0.8632407407349092</v>
      </c>
      <c r="L73" s="11">
        <f t="shared" si="9"/>
        <v>8.6805556202307343E-4</v>
      </c>
      <c r="M73" s="11">
        <f t="shared" si="10"/>
        <v>0</v>
      </c>
      <c r="N73" s="11">
        <f t="shared" si="11"/>
        <v>0.88717592592729488</v>
      </c>
    </row>
    <row r="74" spans="1:14" x14ac:dyDescent="0.45">
      <c r="A74" s="3" t="s">
        <v>723</v>
      </c>
      <c r="B74" s="3" t="s">
        <v>354</v>
      </c>
      <c r="C74" s="3" t="s">
        <v>821</v>
      </c>
      <c r="D74" s="3">
        <v>3</v>
      </c>
      <c r="E74" s="10">
        <v>45668.549756944441</v>
      </c>
      <c r="F74" s="10">
        <v>45669.444837962961</v>
      </c>
      <c r="G74" s="10">
        <v>45669.44568287037</v>
      </c>
      <c r="H74" s="10">
        <v>45669.467905092592</v>
      </c>
      <c r="I74" s="10">
        <v>45669.467905092592</v>
      </c>
      <c r="J74" s="10">
        <v>45669.4687962963</v>
      </c>
      <c r="K74" s="11">
        <f t="shared" si="8"/>
        <v>0.89508101851970423</v>
      </c>
      <c r="L74" s="11">
        <f t="shared" si="9"/>
        <v>8.4490740846376866E-4</v>
      </c>
      <c r="M74" s="11">
        <f t="shared" si="10"/>
        <v>0</v>
      </c>
      <c r="N74" s="11">
        <f t="shared" si="11"/>
        <v>0.91903935185837327</v>
      </c>
    </row>
    <row r="75" spans="1:14" x14ac:dyDescent="0.45">
      <c r="A75" s="3" t="s">
        <v>778</v>
      </c>
      <c r="B75" s="3" t="s">
        <v>263</v>
      </c>
      <c r="C75" s="3" t="s">
        <v>815</v>
      </c>
      <c r="D75" s="3">
        <v>2</v>
      </c>
      <c r="E75" s="10">
        <v>45669.469699074078</v>
      </c>
      <c r="F75" s="10">
        <v>45669.482523148137</v>
      </c>
      <c r="G75" s="10">
        <v>45669.483391203707</v>
      </c>
      <c r="H75" s="10">
        <v>45669.508391203701</v>
      </c>
      <c r="I75" s="10">
        <v>45669.508391203701</v>
      </c>
      <c r="J75" s="10">
        <v>45669.509317129632</v>
      </c>
      <c r="K75" s="11">
        <f t="shared" si="8"/>
        <v>1.2824074059608392E-2</v>
      </c>
      <c r="L75" s="11">
        <f t="shared" si="9"/>
        <v>8.6805556929903105E-4</v>
      </c>
      <c r="M75" s="11">
        <f t="shared" si="10"/>
        <v>0</v>
      </c>
      <c r="N75" s="11">
        <f t="shared" si="11"/>
        <v>3.9618055554456078E-2</v>
      </c>
    </row>
    <row r="76" spans="1:14" x14ac:dyDescent="0.45">
      <c r="A76" s="3" t="s">
        <v>747</v>
      </c>
      <c r="B76" s="3" t="s">
        <v>237</v>
      </c>
      <c r="C76" s="3" t="s">
        <v>814</v>
      </c>
      <c r="D76" s="3">
        <v>2</v>
      </c>
      <c r="E76" s="10">
        <v>45668.892453703702</v>
      </c>
      <c r="F76" s="10">
        <v>45669.513761574082</v>
      </c>
      <c r="G76" s="10">
        <v>45669.51462962963</v>
      </c>
      <c r="H76" s="10">
        <v>45669.539629629631</v>
      </c>
      <c r="I76" s="10">
        <v>45669.539629629631</v>
      </c>
      <c r="J76" s="10">
        <v>45669.540358796286</v>
      </c>
      <c r="K76" s="11">
        <f t="shared" si="8"/>
        <v>0.6213078703804058</v>
      </c>
      <c r="L76" s="11">
        <f t="shared" si="9"/>
        <v>8.6805554747115821E-4</v>
      </c>
      <c r="M76" s="11">
        <f t="shared" si="10"/>
        <v>0</v>
      </c>
      <c r="N76" s="11">
        <f t="shared" si="11"/>
        <v>0.64790509258455131</v>
      </c>
    </row>
    <row r="77" spans="1:14" x14ac:dyDescent="0.45">
      <c r="A77" s="3" t="s">
        <v>787</v>
      </c>
      <c r="B77" s="3" t="s">
        <v>237</v>
      </c>
      <c r="C77" s="3" t="s">
        <v>818</v>
      </c>
      <c r="D77" s="3">
        <v>2</v>
      </c>
      <c r="E77" s="10">
        <v>45669.505798611113</v>
      </c>
      <c r="F77" s="10">
        <v>45669.685972222222</v>
      </c>
      <c r="G77" s="10">
        <v>45669.686840277784</v>
      </c>
      <c r="H77" s="10">
        <v>45669.706284722219</v>
      </c>
      <c r="I77" s="10">
        <v>45669.706284722219</v>
      </c>
      <c r="J77" s="10">
        <v>45669.707083333327</v>
      </c>
      <c r="K77" s="11">
        <f t="shared" si="8"/>
        <v>0.18017361110833008</v>
      </c>
      <c r="L77" s="11">
        <f t="shared" si="9"/>
        <v>8.6805556202307343E-4</v>
      </c>
      <c r="M77" s="11">
        <f t="shared" si="10"/>
        <v>0</v>
      </c>
      <c r="N77" s="11">
        <f t="shared" si="11"/>
        <v>0.20128472221404081</v>
      </c>
    </row>
    <row r="78" spans="1:14" x14ac:dyDescent="0.45">
      <c r="A78" s="3" t="s">
        <v>755</v>
      </c>
      <c r="B78" s="3" t="s">
        <v>283</v>
      </c>
      <c r="C78" s="3" t="s">
        <v>817</v>
      </c>
      <c r="D78" s="3">
        <v>4</v>
      </c>
      <c r="E78" s="10">
        <v>45668.989560185182</v>
      </c>
      <c r="F78" s="10">
        <v>45669.813726851848</v>
      </c>
      <c r="G78" s="10">
        <v>45669.81459490741</v>
      </c>
      <c r="H78" s="10">
        <v>45669.847928240742</v>
      </c>
      <c r="I78" s="10">
        <v>45669.847928240742</v>
      </c>
      <c r="J78" s="10">
        <v>45669.848877314813</v>
      </c>
      <c r="K78" s="11">
        <f t="shared" si="8"/>
        <v>0.8241666666654055</v>
      </c>
      <c r="L78" s="11">
        <f t="shared" si="9"/>
        <v>8.6805556202307343E-4</v>
      </c>
      <c r="M78" s="11">
        <f t="shared" si="10"/>
        <v>0</v>
      </c>
      <c r="N78" s="11">
        <f t="shared" si="11"/>
        <v>0.85931712963065365</v>
      </c>
    </row>
    <row r="79" spans="1:14" x14ac:dyDescent="0.45">
      <c r="A79" s="3" t="s">
        <v>792</v>
      </c>
      <c r="B79" s="3" t="s">
        <v>354</v>
      </c>
      <c r="C79" s="3" t="s">
        <v>814</v>
      </c>
      <c r="D79" s="3">
        <v>7</v>
      </c>
      <c r="E79" s="10">
        <v>45669.679108796299</v>
      </c>
      <c r="F79" s="10">
        <v>45669.941388888888</v>
      </c>
      <c r="G79" s="10">
        <v>45669.942233796297</v>
      </c>
      <c r="H79" s="10">
        <v>45669.995011574072</v>
      </c>
      <c r="I79" s="10">
        <v>45669.995011574072</v>
      </c>
      <c r="J79" s="10">
        <v>45669.996111111112</v>
      </c>
      <c r="K79" s="11">
        <f t="shared" si="8"/>
        <v>0.26228009258920792</v>
      </c>
      <c r="L79" s="11">
        <f t="shared" si="9"/>
        <v>8.4490740846376866E-4</v>
      </c>
      <c r="M79" s="11">
        <f t="shared" si="10"/>
        <v>0</v>
      </c>
      <c r="N79" s="11">
        <f t="shared" si="11"/>
        <v>0.31700231481227092</v>
      </c>
    </row>
  </sheetData>
  <autoFilter ref="A1:N79" xr:uid="{00000000-0009-0000-0000-000008000000}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246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2" width="8.19921875" customWidth="1"/>
    <col min="3" max="3" width="19" customWidth="1"/>
    <col min="4" max="4" width="8.19921875" customWidth="1"/>
    <col min="5" max="6" width="19" customWidth="1"/>
    <col min="7" max="8" width="8.19921875" customWidth="1"/>
  </cols>
  <sheetData>
    <row r="1" spans="1:8" ht="45" customHeight="1" x14ac:dyDescent="0.45">
      <c r="A1" s="1" t="s">
        <v>842</v>
      </c>
      <c r="B1" s="1" t="s">
        <v>127</v>
      </c>
      <c r="C1" s="1" t="s">
        <v>1745</v>
      </c>
      <c r="D1" s="1" t="s">
        <v>1733</v>
      </c>
      <c r="E1" s="1" t="s">
        <v>1736</v>
      </c>
      <c r="F1" s="1" t="s">
        <v>1746</v>
      </c>
      <c r="G1" s="1" t="s">
        <v>1747</v>
      </c>
      <c r="H1" s="1" t="s">
        <v>1748</v>
      </c>
    </row>
    <row r="2" spans="1:8" x14ac:dyDescent="0.45">
      <c r="A2" s="3" t="s">
        <v>243</v>
      </c>
      <c r="B2" s="3" t="s">
        <v>813</v>
      </c>
      <c r="C2" s="10">
        <v>45663.219502314823</v>
      </c>
      <c r="D2" s="3" t="s">
        <v>244</v>
      </c>
      <c r="E2" s="10">
        <v>45663.229571759257</v>
      </c>
      <c r="F2" s="10">
        <v>45663.251342592594</v>
      </c>
      <c r="G2" s="11">
        <f t="shared" ref="G2:G65" si="0">IF(AND(ISNUMBER(C2),ISNUMBER(E2)),(E2-C2),"")</f>
        <v>1.0069444433611352E-2</v>
      </c>
      <c r="H2" s="11">
        <f t="shared" ref="H2:H65" si="1">IF(AND(ISNUMBER(C2),ISNUMBER(F2)),(F2-C2),"")</f>
        <v>3.1840277770243119E-2</v>
      </c>
    </row>
    <row r="3" spans="1:8" x14ac:dyDescent="0.45">
      <c r="A3" s="3" t="s">
        <v>246</v>
      </c>
      <c r="B3" s="3" t="s">
        <v>816</v>
      </c>
      <c r="C3" s="10">
        <v>45663.220532407409</v>
      </c>
      <c r="D3" s="3" t="s">
        <v>248</v>
      </c>
      <c r="E3" s="10">
        <v>45664.267048611109</v>
      </c>
      <c r="F3" s="10">
        <v>45664.293657407397</v>
      </c>
      <c r="G3" s="11">
        <f t="shared" si="0"/>
        <v>1.0465162036998663</v>
      </c>
      <c r="H3" s="11">
        <f t="shared" si="1"/>
        <v>1.0731249999880674</v>
      </c>
    </row>
    <row r="4" spans="1:8" x14ac:dyDescent="0.45">
      <c r="A4" s="3" t="s">
        <v>250</v>
      </c>
      <c r="B4" s="3" t="s">
        <v>816</v>
      </c>
      <c r="C4" s="10">
        <v>45663.220532407409</v>
      </c>
      <c r="D4" s="3" t="s">
        <v>248</v>
      </c>
      <c r="E4" s="10">
        <v>45664.267048611109</v>
      </c>
      <c r="F4" s="10">
        <v>45664.293657407397</v>
      </c>
      <c r="G4" s="11">
        <f t="shared" si="0"/>
        <v>1.0465162036998663</v>
      </c>
      <c r="H4" s="11">
        <f t="shared" si="1"/>
        <v>1.0731249999880674</v>
      </c>
    </row>
    <row r="5" spans="1:8" x14ac:dyDescent="0.45">
      <c r="A5" s="3" t="s">
        <v>252</v>
      </c>
      <c r="B5" s="3" t="s">
        <v>813</v>
      </c>
      <c r="C5" s="10">
        <v>45663.221365740741</v>
      </c>
      <c r="D5" s="3" t="s">
        <v>244</v>
      </c>
      <c r="E5" s="10">
        <v>45663.229571759257</v>
      </c>
      <c r="F5" s="10">
        <v>45663.251342592594</v>
      </c>
      <c r="G5" s="11">
        <f t="shared" si="0"/>
        <v>8.2060185159207322E-3</v>
      </c>
      <c r="H5" s="11">
        <f t="shared" si="1"/>
        <v>2.99768518525525E-2</v>
      </c>
    </row>
    <row r="6" spans="1:8" x14ac:dyDescent="0.45">
      <c r="A6" s="3" t="s">
        <v>230</v>
      </c>
      <c r="B6" s="3" t="s">
        <v>814</v>
      </c>
      <c r="C6" s="10">
        <v>45663.223761574067</v>
      </c>
      <c r="D6" s="3" t="s">
        <v>232</v>
      </c>
      <c r="E6" s="10">
        <v>45663.237685185188</v>
      </c>
      <c r="F6" s="10">
        <v>45663.258576388893</v>
      </c>
      <c r="G6" s="11">
        <f t="shared" si="0"/>
        <v>1.3923611120844726E-2</v>
      </c>
      <c r="H6" s="11">
        <f t="shared" si="1"/>
        <v>3.4814814825949725E-2</v>
      </c>
    </row>
    <row r="7" spans="1:8" x14ac:dyDescent="0.45">
      <c r="A7" s="3" t="s">
        <v>234</v>
      </c>
      <c r="B7" s="3" t="s">
        <v>814</v>
      </c>
      <c r="C7" s="10">
        <v>45663.223761574067</v>
      </c>
      <c r="D7" s="3" t="s">
        <v>232</v>
      </c>
      <c r="E7" s="10">
        <v>45663.237685185188</v>
      </c>
      <c r="F7" s="10">
        <v>45663.258576388893</v>
      </c>
      <c r="G7" s="11">
        <f t="shared" si="0"/>
        <v>1.3923611120844726E-2</v>
      </c>
      <c r="H7" s="11">
        <f t="shared" si="1"/>
        <v>3.4814814825949725E-2</v>
      </c>
    </row>
    <row r="8" spans="1:8" x14ac:dyDescent="0.45">
      <c r="A8" s="3" t="s">
        <v>236</v>
      </c>
      <c r="B8" s="3" t="s">
        <v>817</v>
      </c>
      <c r="C8" s="10">
        <v>45663.225277777783</v>
      </c>
      <c r="D8" s="3" t="s">
        <v>238</v>
      </c>
      <c r="E8" s="10">
        <v>45664.271087962959</v>
      </c>
      <c r="F8" s="10">
        <v>45664.30709490741</v>
      </c>
      <c r="G8" s="11">
        <f t="shared" si="0"/>
        <v>1.0458101851763786</v>
      </c>
      <c r="H8" s="11">
        <f t="shared" si="1"/>
        <v>1.0818171296268702</v>
      </c>
    </row>
    <row r="9" spans="1:8" x14ac:dyDescent="0.45">
      <c r="A9" s="3" t="s">
        <v>240</v>
      </c>
      <c r="B9" s="3" t="s">
        <v>815</v>
      </c>
      <c r="C9" s="10">
        <v>45663.226469907408</v>
      </c>
      <c r="D9" s="3" t="s">
        <v>241</v>
      </c>
      <c r="E9" s="10">
        <v>45663.63653935185</v>
      </c>
      <c r="F9" s="10">
        <v>45663.660520833328</v>
      </c>
      <c r="G9" s="11">
        <f t="shared" si="0"/>
        <v>0.4100694444423425</v>
      </c>
      <c r="H9" s="11">
        <f t="shared" si="1"/>
        <v>0.43405092592001893</v>
      </c>
    </row>
    <row r="10" spans="1:8" x14ac:dyDescent="0.45">
      <c r="A10" s="3" t="s">
        <v>254</v>
      </c>
      <c r="B10" s="3" t="s">
        <v>813</v>
      </c>
      <c r="C10" s="10">
        <v>45663.321666666663</v>
      </c>
      <c r="D10" s="3" t="s">
        <v>256</v>
      </c>
      <c r="E10" s="10">
        <v>45663.334340277783</v>
      </c>
      <c r="F10" s="10">
        <v>45663.363796296297</v>
      </c>
      <c r="G10" s="11">
        <f t="shared" si="0"/>
        <v>1.2673611119680572E-2</v>
      </c>
      <c r="H10" s="11">
        <f t="shared" si="1"/>
        <v>4.2129629633564036E-2</v>
      </c>
    </row>
    <row r="11" spans="1:8" x14ac:dyDescent="0.45">
      <c r="A11" s="3" t="s">
        <v>258</v>
      </c>
      <c r="B11" s="3" t="s">
        <v>813</v>
      </c>
      <c r="C11" s="10">
        <v>45663.321666666663</v>
      </c>
      <c r="D11" s="3" t="s">
        <v>256</v>
      </c>
      <c r="E11" s="10">
        <v>45663.334340277783</v>
      </c>
      <c r="F11" s="10">
        <v>45663.363796296297</v>
      </c>
      <c r="G11" s="11">
        <f t="shared" si="0"/>
        <v>1.2673611119680572E-2</v>
      </c>
      <c r="H11" s="11">
        <f t="shared" si="1"/>
        <v>4.2129629633564036E-2</v>
      </c>
    </row>
    <row r="12" spans="1:8" x14ac:dyDescent="0.45">
      <c r="A12" s="3" t="s">
        <v>260</v>
      </c>
      <c r="B12" s="3" t="s">
        <v>813</v>
      </c>
      <c r="C12" s="10">
        <v>45663.321666666663</v>
      </c>
      <c r="D12" s="3" t="s">
        <v>256</v>
      </c>
      <c r="E12" s="10">
        <v>45663.334340277783</v>
      </c>
      <c r="F12" s="10">
        <v>45663.363796296297</v>
      </c>
      <c r="G12" s="11">
        <f t="shared" si="0"/>
        <v>1.2673611119680572E-2</v>
      </c>
      <c r="H12" s="11">
        <f t="shared" si="1"/>
        <v>4.2129629633564036E-2</v>
      </c>
    </row>
    <row r="13" spans="1:8" x14ac:dyDescent="0.45">
      <c r="A13" s="3" t="s">
        <v>262</v>
      </c>
      <c r="B13" s="3" t="s">
        <v>813</v>
      </c>
      <c r="C13" s="10">
        <v>45663.476574074077</v>
      </c>
      <c r="D13" s="3" t="s">
        <v>264</v>
      </c>
      <c r="E13" s="10">
        <v>45663.636770833327</v>
      </c>
      <c r="F13" s="10">
        <v>45663.669074074067</v>
      </c>
      <c r="G13" s="11">
        <f t="shared" si="0"/>
        <v>0.16019675925053889</v>
      </c>
      <c r="H13" s="11">
        <f t="shared" si="1"/>
        <v>0.1924999999901047</v>
      </c>
    </row>
    <row r="14" spans="1:8" x14ac:dyDescent="0.45">
      <c r="A14" s="3" t="s">
        <v>266</v>
      </c>
      <c r="B14" s="3" t="s">
        <v>813</v>
      </c>
      <c r="C14" s="10">
        <v>45663.476574074077</v>
      </c>
      <c r="D14" s="3" t="s">
        <v>264</v>
      </c>
      <c r="E14" s="10">
        <v>45663.636770833327</v>
      </c>
      <c r="F14" s="10">
        <v>45663.669074074067</v>
      </c>
      <c r="G14" s="11">
        <f t="shared" si="0"/>
        <v>0.16019675925053889</v>
      </c>
      <c r="H14" s="11">
        <f t="shared" si="1"/>
        <v>0.1924999999901047</v>
      </c>
    </row>
    <row r="15" spans="1:8" x14ac:dyDescent="0.45">
      <c r="A15" s="3" t="s">
        <v>268</v>
      </c>
      <c r="B15" s="3" t="s">
        <v>815</v>
      </c>
      <c r="C15" s="10">
        <v>45663.626875000002</v>
      </c>
      <c r="D15" s="3" t="s">
        <v>241</v>
      </c>
      <c r="E15" s="10">
        <v>45663.63653935185</v>
      </c>
      <c r="F15" s="10">
        <v>45663.660520833328</v>
      </c>
      <c r="G15" s="11">
        <f t="shared" si="0"/>
        <v>9.6643518481869251E-3</v>
      </c>
      <c r="H15" s="11">
        <f t="shared" si="1"/>
        <v>3.364583332586335E-2</v>
      </c>
    </row>
    <row r="16" spans="1:8" x14ac:dyDescent="0.45">
      <c r="A16" s="3" t="s">
        <v>270</v>
      </c>
      <c r="B16" s="3" t="s">
        <v>813</v>
      </c>
      <c r="C16" s="10">
        <v>45663.627812500003</v>
      </c>
      <c r="D16" s="3" t="s">
        <v>264</v>
      </c>
      <c r="E16" s="10">
        <v>45663.636770833327</v>
      </c>
      <c r="F16" s="10">
        <v>45663.669074074067</v>
      </c>
      <c r="G16" s="11">
        <f t="shared" si="0"/>
        <v>8.958333324699197E-3</v>
      </c>
      <c r="H16" s="11">
        <f t="shared" si="1"/>
        <v>4.1261574064265005E-2</v>
      </c>
    </row>
    <row r="17" spans="1:8" x14ac:dyDescent="0.45">
      <c r="A17" s="3" t="s">
        <v>272</v>
      </c>
      <c r="B17" s="3" t="s">
        <v>813</v>
      </c>
      <c r="C17" s="10">
        <v>45663.627812500003</v>
      </c>
      <c r="D17" s="3" t="s">
        <v>264</v>
      </c>
      <c r="E17" s="10">
        <v>45663.636770833327</v>
      </c>
      <c r="F17" s="10">
        <v>45663.669074074067</v>
      </c>
      <c r="G17" s="11">
        <f t="shared" si="0"/>
        <v>8.958333324699197E-3</v>
      </c>
      <c r="H17" s="11">
        <f t="shared" si="1"/>
        <v>4.1261574064265005E-2</v>
      </c>
    </row>
    <row r="18" spans="1:8" x14ac:dyDescent="0.45">
      <c r="A18" s="3" t="s">
        <v>274</v>
      </c>
      <c r="B18" s="3" t="s">
        <v>815</v>
      </c>
      <c r="C18" s="10">
        <v>45663.629016203697</v>
      </c>
      <c r="D18" s="3" t="s">
        <v>241</v>
      </c>
      <c r="E18" s="10">
        <v>45663.63653935185</v>
      </c>
      <c r="F18" s="10">
        <v>45663.660520833328</v>
      </c>
      <c r="G18" s="11">
        <f t="shared" si="0"/>
        <v>7.5231481532682665E-3</v>
      </c>
      <c r="H18" s="11">
        <f t="shared" si="1"/>
        <v>3.1504629630944692E-2</v>
      </c>
    </row>
    <row r="19" spans="1:8" x14ac:dyDescent="0.45">
      <c r="A19" s="3" t="s">
        <v>276</v>
      </c>
      <c r="B19" s="3" t="s">
        <v>816</v>
      </c>
      <c r="C19" s="10">
        <v>45664.25885416667</v>
      </c>
      <c r="D19" s="3" t="s">
        <v>248</v>
      </c>
      <c r="E19" s="10">
        <v>45664.267048611109</v>
      </c>
      <c r="F19" s="10">
        <v>45664.293657407397</v>
      </c>
      <c r="G19" s="11">
        <f t="shared" si="0"/>
        <v>8.1944444391410798E-3</v>
      </c>
      <c r="H19" s="11">
        <f t="shared" si="1"/>
        <v>3.48032407273422E-2</v>
      </c>
    </row>
    <row r="20" spans="1:8" x14ac:dyDescent="0.45">
      <c r="A20" s="3" t="s">
        <v>278</v>
      </c>
      <c r="B20" s="3" t="s">
        <v>817</v>
      </c>
      <c r="C20" s="10">
        <v>45664.260439814818</v>
      </c>
      <c r="D20" s="3" t="s">
        <v>238</v>
      </c>
      <c r="E20" s="10">
        <v>45664.271087962959</v>
      </c>
      <c r="F20" s="10">
        <v>45664.30709490741</v>
      </c>
      <c r="G20" s="11">
        <f t="shared" si="0"/>
        <v>1.0648148141626734E-2</v>
      </c>
      <c r="H20" s="11">
        <f t="shared" si="1"/>
        <v>4.6655092592118308E-2</v>
      </c>
    </row>
    <row r="21" spans="1:8" x14ac:dyDescent="0.45">
      <c r="A21" s="3" t="s">
        <v>280</v>
      </c>
      <c r="B21" s="3" t="s">
        <v>817</v>
      </c>
      <c r="C21" s="10">
        <v>45664.260439814818</v>
      </c>
      <c r="D21" s="3" t="s">
        <v>238</v>
      </c>
      <c r="E21" s="10">
        <v>45664.271087962959</v>
      </c>
      <c r="F21" s="10">
        <v>45664.30709490741</v>
      </c>
      <c r="G21" s="11">
        <f t="shared" si="0"/>
        <v>1.0648148141626734E-2</v>
      </c>
      <c r="H21" s="11">
        <f t="shared" si="1"/>
        <v>4.6655092592118308E-2</v>
      </c>
    </row>
    <row r="22" spans="1:8" x14ac:dyDescent="0.45">
      <c r="A22" s="3" t="s">
        <v>282</v>
      </c>
      <c r="B22" s="3" t="s">
        <v>813</v>
      </c>
      <c r="C22" s="10">
        <v>45664.268495370372</v>
      </c>
      <c r="D22" s="3" t="s">
        <v>284</v>
      </c>
      <c r="E22" s="10">
        <v>45664.28125</v>
      </c>
      <c r="F22" s="10">
        <v>45664.330868055556</v>
      </c>
      <c r="G22" s="11">
        <f t="shared" si="0"/>
        <v>1.2754629628034309E-2</v>
      </c>
      <c r="H22" s="11">
        <f t="shared" si="1"/>
        <v>6.2372685184527654E-2</v>
      </c>
    </row>
    <row r="23" spans="1:8" x14ac:dyDescent="0.45">
      <c r="A23" s="3" t="s">
        <v>286</v>
      </c>
      <c r="B23" s="3" t="s">
        <v>813</v>
      </c>
      <c r="C23" s="10">
        <v>45664.268495370372</v>
      </c>
      <c r="D23" s="3" t="s">
        <v>284</v>
      </c>
      <c r="E23" s="10">
        <v>45664.28125</v>
      </c>
      <c r="F23" s="10">
        <v>45664.330868055556</v>
      </c>
      <c r="G23" s="11">
        <f t="shared" si="0"/>
        <v>1.2754629628034309E-2</v>
      </c>
      <c r="H23" s="11">
        <f t="shared" si="1"/>
        <v>6.2372685184527654E-2</v>
      </c>
    </row>
    <row r="24" spans="1:8" x14ac:dyDescent="0.45">
      <c r="A24" s="3" t="s">
        <v>288</v>
      </c>
      <c r="B24" s="3" t="s">
        <v>815</v>
      </c>
      <c r="C24" s="10">
        <v>45664.277731481481</v>
      </c>
      <c r="D24" s="3" t="s">
        <v>289</v>
      </c>
      <c r="E24" s="10">
        <v>45664.298263888893</v>
      </c>
      <c r="F24" s="10">
        <v>45664.341631944437</v>
      </c>
      <c r="G24" s="11">
        <f t="shared" si="0"/>
        <v>2.0532407412247267E-2</v>
      </c>
      <c r="H24" s="11">
        <f t="shared" si="1"/>
        <v>6.3900462955643889E-2</v>
      </c>
    </row>
    <row r="25" spans="1:8" x14ac:dyDescent="0.45">
      <c r="A25" s="3" t="s">
        <v>291</v>
      </c>
      <c r="B25" s="3" t="s">
        <v>814</v>
      </c>
      <c r="C25" s="10">
        <v>45664.279178240737</v>
      </c>
      <c r="D25" s="3" t="s">
        <v>292</v>
      </c>
      <c r="E25" s="10">
        <v>45664.296180555553</v>
      </c>
      <c r="F25" s="10">
        <v>45664.33152777778</v>
      </c>
      <c r="G25" s="11">
        <f t="shared" si="0"/>
        <v>1.7002314816636499E-2</v>
      </c>
      <c r="H25" s="11">
        <f t="shared" si="1"/>
        <v>5.2349537043482997E-2</v>
      </c>
    </row>
    <row r="26" spans="1:8" x14ac:dyDescent="0.45">
      <c r="A26" s="3" t="s">
        <v>294</v>
      </c>
      <c r="B26" s="3" t="s">
        <v>815</v>
      </c>
      <c r="C26" s="10">
        <v>45664.280451388891</v>
      </c>
      <c r="D26" s="3" t="s">
        <v>289</v>
      </c>
      <c r="E26" s="10">
        <v>45664.298263888893</v>
      </c>
      <c r="F26" s="10">
        <v>45664.341631944437</v>
      </c>
      <c r="G26" s="11">
        <f t="shared" si="0"/>
        <v>1.7812500002037268E-2</v>
      </c>
      <c r="H26" s="11">
        <f t="shared" si="1"/>
        <v>6.118055554543389E-2</v>
      </c>
    </row>
    <row r="27" spans="1:8" x14ac:dyDescent="0.45">
      <c r="A27" s="3" t="s">
        <v>296</v>
      </c>
      <c r="B27" s="3" t="s">
        <v>814</v>
      </c>
      <c r="C27" s="10">
        <v>45664.285173611112</v>
      </c>
      <c r="D27" s="3" t="s">
        <v>292</v>
      </c>
      <c r="E27" s="10">
        <v>45664.296180555553</v>
      </c>
      <c r="F27" s="10">
        <v>45664.33152777778</v>
      </c>
      <c r="G27" s="11">
        <f t="shared" si="0"/>
        <v>1.1006944441760425E-2</v>
      </c>
      <c r="H27" s="11">
        <f t="shared" si="1"/>
        <v>4.6354166668606922E-2</v>
      </c>
    </row>
    <row r="28" spans="1:8" x14ac:dyDescent="0.45">
      <c r="A28" s="3" t="s">
        <v>298</v>
      </c>
      <c r="B28" s="3" t="s">
        <v>819</v>
      </c>
      <c r="C28" s="10">
        <v>45664.286377314813</v>
      </c>
      <c r="D28" s="3" t="s">
        <v>299</v>
      </c>
      <c r="E28" s="10">
        <v>45664.313958333332</v>
      </c>
      <c r="F28" s="10">
        <v>45664.358541666668</v>
      </c>
      <c r="G28" s="11">
        <f t="shared" si="0"/>
        <v>2.7581018519413192E-2</v>
      </c>
      <c r="H28" s="11">
        <f t="shared" si="1"/>
        <v>7.2164351855462883E-2</v>
      </c>
    </row>
    <row r="29" spans="1:8" x14ac:dyDescent="0.45">
      <c r="A29" s="3" t="s">
        <v>301</v>
      </c>
      <c r="B29" s="3" t="s">
        <v>818</v>
      </c>
      <c r="C29" s="10">
        <v>45664.287789351853</v>
      </c>
      <c r="D29" s="3" t="s">
        <v>302</v>
      </c>
      <c r="E29" s="10">
        <v>45664.309062499997</v>
      </c>
      <c r="F29" s="10">
        <v>45664.357673611114</v>
      </c>
      <c r="G29" s="11">
        <f t="shared" si="0"/>
        <v>2.1273148144246079E-2</v>
      </c>
      <c r="H29" s="11">
        <f t="shared" si="1"/>
        <v>6.9884259261016268E-2</v>
      </c>
    </row>
    <row r="30" spans="1:8" x14ac:dyDescent="0.45">
      <c r="A30" s="3" t="s">
        <v>304</v>
      </c>
      <c r="B30" s="3" t="s">
        <v>820</v>
      </c>
      <c r="C30" s="10">
        <v>45664.292685185188</v>
      </c>
      <c r="D30" s="3" t="s">
        <v>305</v>
      </c>
      <c r="E30" s="10">
        <v>45664.704375000001</v>
      </c>
      <c r="F30" s="10">
        <v>45664.736712962957</v>
      </c>
      <c r="G30" s="11">
        <f t="shared" si="0"/>
        <v>0.41168981481314404</v>
      </c>
      <c r="H30" s="11">
        <f t="shared" si="1"/>
        <v>0.44402777776849689</v>
      </c>
    </row>
    <row r="31" spans="1:8" x14ac:dyDescent="0.45">
      <c r="A31" s="3" t="s">
        <v>307</v>
      </c>
      <c r="B31" s="3" t="s">
        <v>820</v>
      </c>
      <c r="C31" s="10">
        <v>45664.292685185188</v>
      </c>
      <c r="D31" s="3" t="s">
        <v>305</v>
      </c>
      <c r="E31" s="10">
        <v>45664.704375000001</v>
      </c>
      <c r="F31" s="10">
        <v>45664.736712962957</v>
      </c>
      <c r="G31" s="11">
        <f t="shared" si="0"/>
        <v>0.41168981481314404</v>
      </c>
      <c r="H31" s="11">
        <f t="shared" si="1"/>
        <v>0.44402777776849689</v>
      </c>
    </row>
    <row r="32" spans="1:8" x14ac:dyDescent="0.45">
      <c r="A32" s="3" t="s">
        <v>309</v>
      </c>
      <c r="B32" s="3" t="s">
        <v>820</v>
      </c>
      <c r="C32" s="10">
        <v>45664.292685185188</v>
      </c>
      <c r="D32" s="3" t="s">
        <v>305</v>
      </c>
      <c r="E32" s="10">
        <v>45664.704375000001</v>
      </c>
      <c r="F32" s="10">
        <v>45664.736712962957</v>
      </c>
      <c r="G32" s="11">
        <f t="shared" si="0"/>
        <v>0.41168981481314404</v>
      </c>
      <c r="H32" s="11">
        <f t="shared" si="1"/>
        <v>0.44402777776849689</v>
      </c>
    </row>
    <row r="33" spans="1:8" x14ac:dyDescent="0.45">
      <c r="A33" s="3" t="s">
        <v>311</v>
      </c>
      <c r="B33" s="3" t="s">
        <v>818</v>
      </c>
      <c r="C33" s="10">
        <v>45664.301620370366</v>
      </c>
      <c r="D33" s="3" t="s">
        <v>302</v>
      </c>
      <c r="E33" s="10">
        <v>45664.309062499997</v>
      </c>
      <c r="F33" s="10">
        <v>45664.357673611114</v>
      </c>
      <c r="G33" s="11">
        <f t="shared" si="0"/>
        <v>7.442129630362615E-3</v>
      </c>
      <c r="H33" s="11">
        <f t="shared" si="1"/>
        <v>5.6053240747132804E-2</v>
      </c>
    </row>
    <row r="34" spans="1:8" x14ac:dyDescent="0.45">
      <c r="A34" s="3" t="s">
        <v>313</v>
      </c>
      <c r="B34" s="3" t="s">
        <v>818</v>
      </c>
      <c r="C34" s="10">
        <v>45664.301620370366</v>
      </c>
      <c r="D34" s="3" t="s">
        <v>302</v>
      </c>
      <c r="E34" s="10">
        <v>45664.309062499997</v>
      </c>
      <c r="F34" s="10">
        <v>45664.357673611114</v>
      </c>
      <c r="G34" s="11">
        <f t="shared" si="0"/>
        <v>7.442129630362615E-3</v>
      </c>
      <c r="H34" s="11">
        <f t="shared" si="1"/>
        <v>5.6053240747132804E-2</v>
      </c>
    </row>
    <row r="35" spans="1:8" x14ac:dyDescent="0.45">
      <c r="A35" s="3" t="s">
        <v>315</v>
      </c>
      <c r="B35" s="3" t="s">
        <v>819</v>
      </c>
      <c r="C35" s="10">
        <v>45664.30300925926</v>
      </c>
      <c r="D35" s="3" t="s">
        <v>299</v>
      </c>
      <c r="E35" s="10">
        <v>45664.313958333332</v>
      </c>
      <c r="F35" s="10">
        <v>45664.358541666668</v>
      </c>
      <c r="G35" s="11">
        <f t="shared" si="0"/>
        <v>1.0949074072414078E-2</v>
      </c>
      <c r="H35" s="11">
        <f t="shared" si="1"/>
        <v>5.5532407408463769E-2</v>
      </c>
    </row>
    <row r="36" spans="1:8" x14ac:dyDescent="0.45">
      <c r="A36" s="3" t="s">
        <v>317</v>
      </c>
      <c r="B36" s="3" t="s">
        <v>819</v>
      </c>
      <c r="C36" s="10">
        <v>45664.30300925926</v>
      </c>
      <c r="D36" s="3" t="s">
        <v>299</v>
      </c>
      <c r="E36" s="10">
        <v>45664.313958333332</v>
      </c>
      <c r="F36" s="10">
        <v>45664.358541666668</v>
      </c>
      <c r="G36" s="11">
        <f t="shared" si="0"/>
        <v>1.0949074072414078E-2</v>
      </c>
      <c r="H36" s="11">
        <f t="shared" si="1"/>
        <v>5.5532407408463769E-2</v>
      </c>
    </row>
    <row r="37" spans="1:8" x14ac:dyDescent="0.45">
      <c r="A37" s="3" t="s">
        <v>319</v>
      </c>
      <c r="B37" s="3" t="s">
        <v>813</v>
      </c>
      <c r="C37" s="10">
        <v>45664.549826388888</v>
      </c>
      <c r="D37" s="3" t="s">
        <v>320</v>
      </c>
      <c r="E37" s="10">
        <v>45664.559664351851</v>
      </c>
      <c r="F37" s="10">
        <v>45664.583437499998</v>
      </c>
      <c r="G37" s="11">
        <f t="shared" si="0"/>
        <v>9.8379629635019228E-3</v>
      </c>
      <c r="H37" s="11">
        <f t="shared" si="1"/>
        <v>3.3611111110076308E-2</v>
      </c>
    </row>
    <row r="38" spans="1:8" x14ac:dyDescent="0.45">
      <c r="A38" s="3" t="s">
        <v>322</v>
      </c>
      <c r="B38" s="3" t="s">
        <v>813</v>
      </c>
      <c r="C38" s="10">
        <v>45664.549826388888</v>
      </c>
      <c r="D38" s="3" t="s">
        <v>320</v>
      </c>
      <c r="E38" s="10">
        <v>45664.559664351851</v>
      </c>
      <c r="F38" s="10">
        <v>45664.583437499998</v>
      </c>
      <c r="G38" s="11">
        <f t="shared" si="0"/>
        <v>9.8379629635019228E-3</v>
      </c>
      <c r="H38" s="11">
        <f t="shared" si="1"/>
        <v>3.3611111110076308E-2</v>
      </c>
    </row>
    <row r="39" spans="1:8" x14ac:dyDescent="0.45">
      <c r="A39" s="3" t="s">
        <v>324</v>
      </c>
      <c r="B39" s="3" t="s">
        <v>813</v>
      </c>
      <c r="C39" s="10">
        <v>45664.549826388888</v>
      </c>
      <c r="D39" s="3" t="s">
        <v>320</v>
      </c>
      <c r="E39" s="10">
        <v>45664.559664351851</v>
      </c>
      <c r="F39" s="10">
        <v>45664.583437499998</v>
      </c>
      <c r="G39" s="11">
        <f t="shared" si="0"/>
        <v>9.8379629635019228E-3</v>
      </c>
      <c r="H39" s="11">
        <f t="shared" si="1"/>
        <v>3.3611111110076308E-2</v>
      </c>
    </row>
    <row r="40" spans="1:8" x14ac:dyDescent="0.45">
      <c r="A40" s="3" t="s">
        <v>326</v>
      </c>
      <c r="B40" s="3" t="s">
        <v>820</v>
      </c>
      <c r="C40" s="10">
        <v>45664.695300925923</v>
      </c>
      <c r="D40" s="3" t="s">
        <v>305</v>
      </c>
      <c r="E40" s="10">
        <v>45664.704375000001</v>
      </c>
      <c r="F40" s="10">
        <v>45664.736712962957</v>
      </c>
      <c r="G40" s="11">
        <f t="shared" si="0"/>
        <v>9.0740740779438056E-3</v>
      </c>
      <c r="H40" s="11">
        <f t="shared" si="1"/>
        <v>4.1412037033296656E-2</v>
      </c>
    </row>
    <row r="41" spans="1:8" x14ac:dyDescent="0.45">
      <c r="A41" s="3" t="s">
        <v>328</v>
      </c>
      <c r="B41" s="3" t="s">
        <v>820</v>
      </c>
      <c r="C41" s="10">
        <v>45664.695300925923</v>
      </c>
      <c r="D41" s="3" t="s">
        <v>305</v>
      </c>
      <c r="E41" s="10">
        <v>45664.704375000001</v>
      </c>
      <c r="F41" s="10">
        <v>45664.736712962957</v>
      </c>
      <c r="G41" s="11">
        <f t="shared" si="0"/>
        <v>9.0740740779438056E-3</v>
      </c>
      <c r="H41" s="11">
        <f t="shared" si="1"/>
        <v>4.1412037033296656E-2</v>
      </c>
    </row>
    <row r="42" spans="1:8" x14ac:dyDescent="0.45">
      <c r="A42" s="3" t="s">
        <v>330</v>
      </c>
      <c r="B42" s="3" t="s">
        <v>813</v>
      </c>
      <c r="C42" s="10">
        <v>45664.840150462973</v>
      </c>
      <c r="D42" s="3" t="s">
        <v>331</v>
      </c>
      <c r="E42" s="10">
        <v>45665.253622685188</v>
      </c>
      <c r="F42" s="10">
        <v>45665.27747685185</v>
      </c>
      <c r="G42" s="11">
        <f t="shared" si="0"/>
        <v>0.41347222221520497</v>
      </c>
      <c r="H42" s="11">
        <f t="shared" si="1"/>
        <v>0.43732638887740904</v>
      </c>
    </row>
    <row r="43" spans="1:8" x14ac:dyDescent="0.45">
      <c r="A43" s="3" t="s">
        <v>333</v>
      </c>
      <c r="B43" s="3" t="s">
        <v>816</v>
      </c>
      <c r="C43" s="10">
        <v>45664.841296296298</v>
      </c>
      <c r="D43" s="3" t="s">
        <v>334</v>
      </c>
      <c r="E43" s="10">
        <v>45665.254583333342</v>
      </c>
      <c r="F43" s="10">
        <v>45665.278402777767</v>
      </c>
      <c r="G43" s="11">
        <f t="shared" si="0"/>
        <v>0.41328703704493819</v>
      </c>
      <c r="H43" s="11">
        <f t="shared" si="1"/>
        <v>0.43710648146952735</v>
      </c>
    </row>
    <row r="44" spans="1:8" x14ac:dyDescent="0.45">
      <c r="A44" s="3" t="s">
        <v>349</v>
      </c>
      <c r="B44" s="3" t="s">
        <v>814</v>
      </c>
      <c r="C44" s="10">
        <v>45665.237361111111</v>
      </c>
      <c r="D44" s="3" t="s">
        <v>351</v>
      </c>
      <c r="E44" s="10">
        <v>45667.337592592587</v>
      </c>
      <c r="F44" s="10">
        <v>45667.361377314817</v>
      </c>
      <c r="G44" s="11">
        <f t="shared" si="0"/>
        <v>2.1002314814759302</v>
      </c>
      <c r="H44" s="11">
        <f t="shared" si="1"/>
        <v>2.1240162037065602</v>
      </c>
    </row>
    <row r="45" spans="1:8" x14ac:dyDescent="0.45">
      <c r="A45" s="3" t="s">
        <v>353</v>
      </c>
      <c r="B45" s="3" t="s">
        <v>817</v>
      </c>
      <c r="C45" s="10">
        <v>45665.238993055558</v>
      </c>
      <c r="D45" s="3" t="s">
        <v>355</v>
      </c>
      <c r="E45" s="10">
        <v>45665.393368055556</v>
      </c>
      <c r="F45" s="10">
        <v>45665.426203703697</v>
      </c>
      <c r="G45" s="11">
        <f t="shared" si="0"/>
        <v>0.15437499999825377</v>
      </c>
      <c r="H45" s="11">
        <f t="shared" si="1"/>
        <v>0.18721064813871635</v>
      </c>
    </row>
    <row r="46" spans="1:8" x14ac:dyDescent="0.45">
      <c r="A46" s="3" t="s">
        <v>344</v>
      </c>
      <c r="B46" s="3" t="s">
        <v>815</v>
      </c>
      <c r="C46" s="10">
        <v>45665.24119212963</v>
      </c>
      <c r="D46" s="3" t="s">
        <v>345</v>
      </c>
      <c r="E46" s="10">
        <v>45665.403715277767</v>
      </c>
      <c r="F46" s="10">
        <v>45665.447395833333</v>
      </c>
      <c r="G46" s="11">
        <f t="shared" si="0"/>
        <v>0.1625231481375522</v>
      </c>
      <c r="H46" s="11">
        <f t="shared" si="1"/>
        <v>0.20620370370306773</v>
      </c>
    </row>
    <row r="47" spans="1:8" x14ac:dyDescent="0.45">
      <c r="A47" s="3" t="s">
        <v>347</v>
      </c>
      <c r="B47" s="3" t="s">
        <v>815</v>
      </c>
      <c r="C47" s="10">
        <v>45665.24119212963</v>
      </c>
      <c r="D47" s="3" t="s">
        <v>345</v>
      </c>
      <c r="E47" s="10">
        <v>45665.403715277767</v>
      </c>
      <c r="F47" s="10">
        <v>45665.447395833333</v>
      </c>
      <c r="G47" s="11">
        <f t="shared" si="0"/>
        <v>0.1625231481375522</v>
      </c>
      <c r="H47" s="11">
        <f t="shared" si="1"/>
        <v>0.20620370370306773</v>
      </c>
    </row>
    <row r="48" spans="1:8" x14ac:dyDescent="0.45">
      <c r="A48" s="3" t="s">
        <v>336</v>
      </c>
      <c r="B48" s="3" t="s">
        <v>816</v>
      </c>
      <c r="C48" s="10">
        <v>45665.242974537039</v>
      </c>
      <c r="D48" s="3" t="s">
        <v>334</v>
      </c>
      <c r="E48" s="10">
        <v>45665.254583333342</v>
      </c>
      <c r="F48" s="10">
        <v>45665.278402777767</v>
      </c>
      <c r="G48" s="11">
        <f t="shared" si="0"/>
        <v>1.1608796303335112E-2</v>
      </c>
      <c r="H48" s="11">
        <f t="shared" si="1"/>
        <v>3.5428240727924276E-2</v>
      </c>
    </row>
    <row r="49" spans="1:8" x14ac:dyDescent="0.45">
      <c r="A49" s="3" t="s">
        <v>338</v>
      </c>
      <c r="B49" s="3" t="s">
        <v>813</v>
      </c>
      <c r="C49" s="10">
        <v>45665.243946759263</v>
      </c>
      <c r="D49" s="3" t="s">
        <v>331</v>
      </c>
      <c r="E49" s="10">
        <v>45665.253622685188</v>
      </c>
      <c r="F49" s="10">
        <v>45665.27747685185</v>
      </c>
      <c r="G49" s="11">
        <f t="shared" si="0"/>
        <v>9.6759259249665774E-3</v>
      </c>
      <c r="H49" s="11">
        <f t="shared" si="1"/>
        <v>3.3530092587170657E-2</v>
      </c>
    </row>
    <row r="50" spans="1:8" x14ac:dyDescent="0.45">
      <c r="A50" s="3" t="s">
        <v>340</v>
      </c>
      <c r="B50" s="3" t="s">
        <v>813</v>
      </c>
      <c r="C50" s="10">
        <v>45665.243946759263</v>
      </c>
      <c r="D50" s="3" t="s">
        <v>331</v>
      </c>
      <c r="E50" s="10">
        <v>45665.253622685188</v>
      </c>
      <c r="F50" s="10">
        <v>45665.27747685185</v>
      </c>
      <c r="G50" s="11">
        <f t="shared" si="0"/>
        <v>9.6759259249665774E-3</v>
      </c>
      <c r="H50" s="11">
        <f t="shared" si="1"/>
        <v>3.3530092587170657E-2</v>
      </c>
    </row>
    <row r="51" spans="1:8" x14ac:dyDescent="0.45">
      <c r="A51" s="3" t="s">
        <v>342</v>
      </c>
      <c r="B51" s="3" t="s">
        <v>816</v>
      </c>
      <c r="C51" s="10">
        <v>45665.24491898148</v>
      </c>
      <c r="D51" s="3" t="s">
        <v>334</v>
      </c>
      <c r="E51" s="10">
        <v>45665.254583333342</v>
      </c>
      <c r="F51" s="10">
        <v>45665.278402777767</v>
      </c>
      <c r="G51" s="11">
        <f t="shared" si="0"/>
        <v>9.6643518627388403E-3</v>
      </c>
      <c r="H51" s="11">
        <f t="shared" si="1"/>
        <v>3.3483796287328005E-2</v>
      </c>
    </row>
    <row r="52" spans="1:8" x14ac:dyDescent="0.45">
      <c r="A52" s="3" t="s">
        <v>357</v>
      </c>
      <c r="B52" s="3" t="s">
        <v>813</v>
      </c>
      <c r="C52" s="10">
        <v>45665.383993055562</v>
      </c>
      <c r="D52" s="3" t="s">
        <v>358</v>
      </c>
      <c r="E52" s="10">
        <v>45665.614490740743</v>
      </c>
      <c r="F52" s="10">
        <v>45665.641168981478</v>
      </c>
      <c r="G52" s="11">
        <f t="shared" si="0"/>
        <v>0.23049768518103519</v>
      </c>
      <c r="H52" s="11">
        <f t="shared" si="1"/>
        <v>0.25717592591536231</v>
      </c>
    </row>
    <row r="53" spans="1:8" x14ac:dyDescent="0.45">
      <c r="A53" s="3" t="s">
        <v>360</v>
      </c>
      <c r="B53" s="3" t="s">
        <v>817</v>
      </c>
      <c r="C53" s="10">
        <v>45665.385659722233</v>
      </c>
      <c r="D53" s="3" t="s">
        <v>355</v>
      </c>
      <c r="E53" s="10">
        <v>45665.393368055556</v>
      </c>
      <c r="F53" s="10">
        <v>45665.426203703697</v>
      </c>
      <c r="G53" s="11">
        <f t="shared" si="0"/>
        <v>7.7083333235350437E-3</v>
      </c>
      <c r="H53" s="11">
        <f t="shared" si="1"/>
        <v>4.0543981463997625E-2</v>
      </c>
    </row>
    <row r="54" spans="1:8" x14ac:dyDescent="0.45">
      <c r="A54" s="3" t="s">
        <v>362</v>
      </c>
      <c r="B54" s="3" t="s">
        <v>817</v>
      </c>
      <c r="C54" s="10">
        <v>45665.385659722233</v>
      </c>
      <c r="D54" s="3" t="s">
        <v>355</v>
      </c>
      <c r="E54" s="10">
        <v>45665.393368055556</v>
      </c>
      <c r="F54" s="10">
        <v>45665.426203703697</v>
      </c>
      <c r="G54" s="11">
        <f t="shared" si="0"/>
        <v>7.7083333235350437E-3</v>
      </c>
      <c r="H54" s="11">
        <f t="shared" si="1"/>
        <v>4.0543981463997625E-2</v>
      </c>
    </row>
    <row r="55" spans="1:8" x14ac:dyDescent="0.45">
      <c r="A55" s="3" t="s">
        <v>364</v>
      </c>
      <c r="B55" s="3" t="s">
        <v>817</v>
      </c>
      <c r="C55" s="10">
        <v>45665.385659722233</v>
      </c>
      <c r="D55" s="3" t="s">
        <v>355</v>
      </c>
      <c r="E55" s="10">
        <v>45665.393368055556</v>
      </c>
      <c r="F55" s="10">
        <v>45665.426203703697</v>
      </c>
      <c r="G55" s="11">
        <f t="shared" si="0"/>
        <v>7.7083333235350437E-3</v>
      </c>
      <c r="H55" s="11">
        <f t="shared" si="1"/>
        <v>4.0543981463997625E-2</v>
      </c>
    </row>
    <row r="56" spans="1:8" x14ac:dyDescent="0.45">
      <c r="A56" s="3" t="s">
        <v>366</v>
      </c>
      <c r="B56" s="3" t="s">
        <v>817</v>
      </c>
      <c r="C56" s="10">
        <v>45665.385659722233</v>
      </c>
      <c r="D56" s="3" t="s">
        <v>355</v>
      </c>
      <c r="E56" s="10">
        <v>45665.393368055556</v>
      </c>
      <c r="F56" s="10">
        <v>45665.426203703697</v>
      </c>
      <c r="G56" s="11">
        <f t="shared" si="0"/>
        <v>7.7083333235350437E-3</v>
      </c>
      <c r="H56" s="11">
        <f t="shared" si="1"/>
        <v>4.0543981463997625E-2</v>
      </c>
    </row>
    <row r="57" spans="1:8" x14ac:dyDescent="0.45">
      <c r="A57" s="3" t="s">
        <v>368</v>
      </c>
      <c r="B57" s="3" t="s">
        <v>815</v>
      </c>
      <c r="C57" s="10">
        <v>45665.389131944437</v>
      </c>
      <c r="D57" s="3" t="s">
        <v>345</v>
      </c>
      <c r="E57" s="10">
        <v>45665.403715277767</v>
      </c>
      <c r="F57" s="10">
        <v>45665.447395833333</v>
      </c>
      <c r="G57" s="11">
        <f t="shared" si="0"/>
        <v>1.4583333329937886E-2</v>
      </c>
      <c r="H57" s="11">
        <f t="shared" si="1"/>
        <v>5.826388889545342E-2</v>
      </c>
    </row>
    <row r="58" spans="1:8" x14ac:dyDescent="0.45">
      <c r="A58" s="3" t="s">
        <v>370</v>
      </c>
      <c r="B58" s="3" t="s">
        <v>815</v>
      </c>
      <c r="C58" s="10">
        <v>45665.389131944437</v>
      </c>
      <c r="D58" s="3" t="s">
        <v>345</v>
      </c>
      <c r="E58" s="10">
        <v>45665.403715277767</v>
      </c>
      <c r="F58" s="10">
        <v>45665.447395833333</v>
      </c>
      <c r="G58" s="11">
        <f t="shared" si="0"/>
        <v>1.4583333329937886E-2</v>
      </c>
      <c r="H58" s="11">
        <f t="shared" si="1"/>
        <v>5.826388889545342E-2</v>
      </c>
    </row>
    <row r="59" spans="1:8" x14ac:dyDescent="0.45">
      <c r="A59" s="3" t="s">
        <v>372</v>
      </c>
      <c r="B59" s="3" t="s">
        <v>815</v>
      </c>
      <c r="C59" s="10">
        <v>45665.389131944437</v>
      </c>
      <c r="D59" s="3" t="s">
        <v>345</v>
      </c>
      <c r="E59" s="10">
        <v>45665.403715277767</v>
      </c>
      <c r="F59" s="10">
        <v>45665.447395833333</v>
      </c>
      <c r="G59" s="11">
        <f t="shared" si="0"/>
        <v>1.4583333329937886E-2</v>
      </c>
      <c r="H59" s="11">
        <f t="shared" si="1"/>
        <v>5.826388889545342E-2</v>
      </c>
    </row>
    <row r="60" spans="1:8" x14ac:dyDescent="0.45">
      <c r="A60" s="3" t="s">
        <v>374</v>
      </c>
      <c r="B60" s="3" t="s">
        <v>816</v>
      </c>
      <c r="C60" s="10">
        <v>45665.405949074076</v>
      </c>
      <c r="D60" s="3" t="s">
        <v>375</v>
      </c>
      <c r="E60" s="10">
        <v>45665.454467592594</v>
      </c>
      <c r="F60" s="10">
        <v>45665.493067129632</v>
      </c>
      <c r="G60" s="11">
        <f t="shared" si="0"/>
        <v>4.8518518517084885E-2</v>
      </c>
      <c r="H60" s="11">
        <f t="shared" si="1"/>
        <v>8.7118055555038154E-2</v>
      </c>
    </row>
    <row r="61" spans="1:8" x14ac:dyDescent="0.45">
      <c r="A61" s="3" t="s">
        <v>377</v>
      </c>
      <c r="B61" s="3" t="s">
        <v>819</v>
      </c>
      <c r="C61" s="10">
        <v>45665.407465277778</v>
      </c>
      <c r="D61" s="3" t="s">
        <v>378</v>
      </c>
      <c r="E61" s="10">
        <v>45665.421481481477</v>
      </c>
      <c r="F61" s="10">
        <v>45665.45853009259</v>
      </c>
      <c r="G61" s="11">
        <f t="shared" si="0"/>
        <v>1.4016203698702157E-2</v>
      </c>
      <c r="H61" s="11">
        <f t="shared" si="1"/>
        <v>5.1064814811979886E-2</v>
      </c>
    </row>
    <row r="62" spans="1:8" x14ac:dyDescent="0.45">
      <c r="A62" s="3" t="s">
        <v>380</v>
      </c>
      <c r="B62" s="3" t="s">
        <v>819</v>
      </c>
      <c r="C62" s="10">
        <v>45665.407465277778</v>
      </c>
      <c r="D62" s="3" t="s">
        <v>378</v>
      </c>
      <c r="E62" s="10">
        <v>45665.421481481477</v>
      </c>
      <c r="F62" s="10">
        <v>45665.45853009259</v>
      </c>
      <c r="G62" s="11">
        <f t="shared" si="0"/>
        <v>1.4016203698702157E-2</v>
      </c>
      <c r="H62" s="11">
        <f t="shared" si="1"/>
        <v>5.1064814811979886E-2</v>
      </c>
    </row>
    <row r="63" spans="1:8" x14ac:dyDescent="0.45">
      <c r="A63" s="3" t="s">
        <v>382</v>
      </c>
      <c r="B63" s="3" t="s">
        <v>819</v>
      </c>
      <c r="C63" s="10">
        <v>45665.407465277778</v>
      </c>
      <c r="D63" s="3" t="s">
        <v>378</v>
      </c>
      <c r="E63" s="10">
        <v>45665.421481481477</v>
      </c>
      <c r="F63" s="10">
        <v>45665.45853009259</v>
      </c>
      <c r="G63" s="11">
        <f t="shared" si="0"/>
        <v>1.4016203698702157E-2</v>
      </c>
      <c r="H63" s="11">
        <f t="shared" si="1"/>
        <v>5.1064814811979886E-2</v>
      </c>
    </row>
    <row r="64" spans="1:8" x14ac:dyDescent="0.45">
      <c r="A64" s="3" t="s">
        <v>384</v>
      </c>
      <c r="B64" s="3" t="s">
        <v>818</v>
      </c>
      <c r="C64" s="10">
        <v>45665.411874999998</v>
      </c>
      <c r="D64" s="3" t="s">
        <v>385</v>
      </c>
      <c r="E64" s="10">
        <v>45665.433541666673</v>
      </c>
      <c r="F64" s="10">
        <v>45665.476678240739</v>
      </c>
      <c r="G64" s="11">
        <f t="shared" si="0"/>
        <v>2.1666666674718726E-2</v>
      </c>
      <c r="H64" s="11">
        <f t="shared" si="1"/>
        <v>6.4803240740729962E-2</v>
      </c>
    </row>
    <row r="65" spans="1:8" x14ac:dyDescent="0.45">
      <c r="A65" s="3" t="s">
        <v>387</v>
      </c>
      <c r="B65" s="3" t="s">
        <v>818</v>
      </c>
      <c r="C65" s="10">
        <v>45665.411874999998</v>
      </c>
      <c r="D65" s="3" t="s">
        <v>385</v>
      </c>
      <c r="E65" s="10">
        <v>45665.433541666673</v>
      </c>
      <c r="F65" s="10">
        <v>45665.476678240739</v>
      </c>
      <c r="G65" s="11">
        <f t="shared" si="0"/>
        <v>2.1666666674718726E-2</v>
      </c>
      <c r="H65" s="11">
        <f t="shared" si="1"/>
        <v>6.4803240740729962E-2</v>
      </c>
    </row>
    <row r="66" spans="1:8" x14ac:dyDescent="0.45">
      <c r="A66" s="3" t="s">
        <v>389</v>
      </c>
      <c r="B66" s="3" t="s">
        <v>818</v>
      </c>
      <c r="C66" s="10">
        <v>45665.411874999998</v>
      </c>
      <c r="D66" s="3" t="s">
        <v>385</v>
      </c>
      <c r="E66" s="10">
        <v>45665.433541666673</v>
      </c>
      <c r="F66" s="10">
        <v>45665.476678240739</v>
      </c>
      <c r="G66" s="11">
        <f t="shared" ref="G66:G129" si="2">IF(AND(ISNUMBER(C66),ISNUMBER(E66)),(E66-C66),"")</f>
        <v>2.1666666674718726E-2</v>
      </c>
      <c r="H66" s="11">
        <f t="shared" ref="H66:H129" si="3">IF(AND(ISNUMBER(C66),ISNUMBER(F66)),(F66-C66),"")</f>
        <v>6.4803240740729962E-2</v>
      </c>
    </row>
    <row r="67" spans="1:8" x14ac:dyDescent="0.45">
      <c r="A67" s="3" t="s">
        <v>391</v>
      </c>
      <c r="B67" s="3" t="s">
        <v>816</v>
      </c>
      <c r="C67" s="10">
        <v>45665.430891203701</v>
      </c>
      <c r="D67" s="3" t="s">
        <v>375</v>
      </c>
      <c r="E67" s="10">
        <v>45665.454467592594</v>
      </c>
      <c r="F67" s="10">
        <v>45665.493067129632</v>
      </c>
      <c r="G67" s="11">
        <f t="shared" si="2"/>
        <v>2.3576388892251998E-2</v>
      </c>
      <c r="H67" s="11">
        <f t="shared" si="3"/>
        <v>6.2175925930205267E-2</v>
      </c>
    </row>
    <row r="68" spans="1:8" x14ac:dyDescent="0.45">
      <c r="A68" s="3" t="s">
        <v>393</v>
      </c>
      <c r="B68" s="3" t="s">
        <v>816</v>
      </c>
      <c r="C68" s="10">
        <v>45665.430891203701</v>
      </c>
      <c r="D68" s="3" t="s">
        <v>375</v>
      </c>
      <c r="E68" s="10">
        <v>45665.454467592594</v>
      </c>
      <c r="F68" s="10">
        <v>45665.493067129632</v>
      </c>
      <c r="G68" s="11">
        <f t="shared" si="2"/>
        <v>2.3576388892251998E-2</v>
      </c>
      <c r="H68" s="11">
        <f t="shared" si="3"/>
        <v>6.2175925930205267E-2</v>
      </c>
    </row>
    <row r="69" spans="1:8" x14ac:dyDescent="0.45">
      <c r="A69" s="3" t="s">
        <v>395</v>
      </c>
      <c r="B69" s="3" t="s">
        <v>816</v>
      </c>
      <c r="C69" s="10">
        <v>45665.430891203701</v>
      </c>
      <c r="D69" s="3" t="s">
        <v>375</v>
      </c>
      <c r="E69" s="10">
        <v>45665.454467592594</v>
      </c>
      <c r="F69" s="10">
        <v>45665.493067129632</v>
      </c>
      <c r="G69" s="11">
        <f t="shared" si="2"/>
        <v>2.3576388892251998E-2</v>
      </c>
      <c r="H69" s="11">
        <f t="shared" si="3"/>
        <v>6.2175925930205267E-2</v>
      </c>
    </row>
    <row r="70" spans="1:8" x14ac:dyDescent="0.45">
      <c r="A70" s="3" t="s">
        <v>397</v>
      </c>
      <c r="B70" s="3" t="s">
        <v>820</v>
      </c>
      <c r="C70" s="10">
        <v>45665.432199074072</v>
      </c>
      <c r="D70" s="3" t="s">
        <v>398</v>
      </c>
      <c r="E70" s="10">
        <v>45665.611238425918</v>
      </c>
      <c r="F70" s="10">
        <v>45665.635138888887</v>
      </c>
      <c r="G70" s="11">
        <f t="shared" si="2"/>
        <v>0.17903935184585862</v>
      </c>
      <c r="H70" s="11">
        <f t="shared" si="3"/>
        <v>0.20293981481518131</v>
      </c>
    </row>
    <row r="71" spans="1:8" x14ac:dyDescent="0.45">
      <c r="A71" s="3" t="s">
        <v>400</v>
      </c>
      <c r="B71" s="3" t="s">
        <v>820</v>
      </c>
      <c r="C71" s="10">
        <v>45665.603032407409</v>
      </c>
      <c r="D71" s="3" t="s">
        <v>398</v>
      </c>
      <c r="E71" s="10">
        <v>45665.611238425918</v>
      </c>
      <c r="F71" s="10">
        <v>45665.635138888887</v>
      </c>
      <c r="G71" s="11">
        <f t="shared" si="2"/>
        <v>8.2060185086447746E-3</v>
      </c>
      <c r="H71" s="11">
        <f t="shared" si="3"/>
        <v>3.2106481477967463E-2</v>
      </c>
    </row>
    <row r="72" spans="1:8" x14ac:dyDescent="0.45">
      <c r="A72" s="3" t="s">
        <v>402</v>
      </c>
      <c r="B72" s="3" t="s">
        <v>813</v>
      </c>
      <c r="C72" s="10">
        <v>45665.604050925933</v>
      </c>
      <c r="D72" s="3" t="s">
        <v>358</v>
      </c>
      <c r="E72" s="10">
        <v>45665.614490740743</v>
      </c>
      <c r="F72" s="10">
        <v>45665.641168981478</v>
      </c>
      <c r="G72" s="11">
        <f t="shared" si="2"/>
        <v>1.0439814810524695E-2</v>
      </c>
      <c r="H72" s="11">
        <f t="shared" si="3"/>
        <v>3.7118055544851813E-2</v>
      </c>
    </row>
    <row r="73" spans="1:8" x14ac:dyDescent="0.45">
      <c r="A73" s="3" t="s">
        <v>404</v>
      </c>
      <c r="B73" s="3" t="s">
        <v>813</v>
      </c>
      <c r="C73" s="10">
        <v>45665.604050925933</v>
      </c>
      <c r="D73" s="3" t="s">
        <v>358</v>
      </c>
      <c r="E73" s="10">
        <v>45665.614490740743</v>
      </c>
      <c r="F73" s="10">
        <v>45665.641168981478</v>
      </c>
      <c r="G73" s="11">
        <f t="shared" si="2"/>
        <v>1.0439814810524695E-2</v>
      </c>
      <c r="H73" s="11">
        <f t="shared" si="3"/>
        <v>3.7118055544851813E-2</v>
      </c>
    </row>
    <row r="74" spans="1:8" x14ac:dyDescent="0.45">
      <c r="A74" s="3" t="s">
        <v>406</v>
      </c>
      <c r="B74" s="3" t="s">
        <v>813</v>
      </c>
      <c r="C74" s="10">
        <v>45665.758020833331</v>
      </c>
      <c r="D74" s="3" t="s">
        <v>407</v>
      </c>
      <c r="E74" s="10">
        <v>45665.767060185193</v>
      </c>
      <c r="F74" s="10">
        <v>45665.78806712963</v>
      </c>
      <c r="G74" s="11">
        <f t="shared" si="2"/>
        <v>9.0393518621567637E-3</v>
      </c>
      <c r="H74" s="11">
        <f t="shared" si="3"/>
        <v>3.0046296298678499E-2</v>
      </c>
    </row>
    <row r="75" spans="1:8" x14ac:dyDescent="0.45">
      <c r="A75" s="3" t="s">
        <v>409</v>
      </c>
      <c r="B75" s="3" t="s">
        <v>813</v>
      </c>
      <c r="C75" s="10">
        <v>45665.758020833331</v>
      </c>
      <c r="D75" s="3" t="s">
        <v>407</v>
      </c>
      <c r="E75" s="10">
        <v>45665.767060185193</v>
      </c>
      <c r="F75" s="10">
        <v>45665.78806712963</v>
      </c>
      <c r="G75" s="11">
        <f t="shared" si="2"/>
        <v>9.0393518621567637E-3</v>
      </c>
      <c r="H75" s="11">
        <f t="shared" si="3"/>
        <v>3.0046296298678499E-2</v>
      </c>
    </row>
    <row r="76" spans="1:8" x14ac:dyDescent="0.45">
      <c r="A76" s="3" t="s">
        <v>411</v>
      </c>
      <c r="B76" s="3" t="s">
        <v>813</v>
      </c>
      <c r="C76" s="10">
        <v>45665.906921296293</v>
      </c>
      <c r="D76" s="3" t="s">
        <v>412</v>
      </c>
      <c r="E76" s="10">
        <v>45665.919918981483</v>
      </c>
      <c r="F76" s="10">
        <v>45665.966261574067</v>
      </c>
      <c r="G76" s="11">
        <f t="shared" si="2"/>
        <v>1.2997685189475305E-2</v>
      </c>
      <c r="H76" s="11">
        <f t="shared" si="3"/>
        <v>5.9340277774026617E-2</v>
      </c>
    </row>
    <row r="77" spans="1:8" x14ac:dyDescent="0.45">
      <c r="A77" s="3" t="s">
        <v>414</v>
      </c>
      <c r="B77" s="3" t="s">
        <v>813</v>
      </c>
      <c r="C77" s="10">
        <v>45665.906921296293</v>
      </c>
      <c r="D77" s="3" t="s">
        <v>412</v>
      </c>
      <c r="E77" s="10">
        <v>45665.919918981483</v>
      </c>
      <c r="F77" s="10">
        <v>45665.966261574067</v>
      </c>
      <c r="G77" s="11">
        <f t="shared" si="2"/>
        <v>1.2997685189475305E-2</v>
      </c>
      <c r="H77" s="11">
        <f t="shared" si="3"/>
        <v>5.9340277774026617E-2</v>
      </c>
    </row>
    <row r="78" spans="1:8" x14ac:dyDescent="0.45">
      <c r="A78" s="3" t="s">
        <v>416</v>
      </c>
      <c r="B78" s="3" t="s">
        <v>813</v>
      </c>
      <c r="C78" s="10">
        <v>45665.906921296293</v>
      </c>
      <c r="D78" s="3" t="s">
        <v>412</v>
      </c>
      <c r="E78" s="10">
        <v>45665.919918981483</v>
      </c>
      <c r="F78" s="10">
        <v>45665.966261574067</v>
      </c>
      <c r="G78" s="11">
        <f t="shared" si="2"/>
        <v>1.2997685189475305E-2</v>
      </c>
      <c r="H78" s="11">
        <f t="shared" si="3"/>
        <v>5.9340277774026617E-2</v>
      </c>
    </row>
    <row r="79" spans="1:8" x14ac:dyDescent="0.45">
      <c r="A79" s="3" t="s">
        <v>418</v>
      </c>
      <c r="B79" s="3" t="s">
        <v>813</v>
      </c>
      <c r="C79" s="10">
        <v>45665.906921296293</v>
      </c>
      <c r="D79" s="3" t="s">
        <v>412</v>
      </c>
      <c r="E79" s="10">
        <v>45665.919918981483</v>
      </c>
      <c r="F79" s="10">
        <v>45665.966261574067</v>
      </c>
      <c r="G79" s="11">
        <f t="shared" si="2"/>
        <v>1.2997685189475305E-2</v>
      </c>
      <c r="H79" s="11">
        <f t="shared" si="3"/>
        <v>5.9340277774026617E-2</v>
      </c>
    </row>
    <row r="80" spans="1:8" x14ac:dyDescent="0.45">
      <c r="A80" s="3" t="s">
        <v>420</v>
      </c>
      <c r="B80" s="3" t="s">
        <v>813</v>
      </c>
      <c r="C80" s="10">
        <v>45665.906921296293</v>
      </c>
      <c r="D80" s="3" t="s">
        <v>412</v>
      </c>
      <c r="E80" s="10">
        <v>45665.919918981483</v>
      </c>
      <c r="F80" s="10">
        <v>45665.966261574067</v>
      </c>
      <c r="G80" s="11">
        <f t="shared" si="2"/>
        <v>1.2997685189475305E-2</v>
      </c>
      <c r="H80" s="11">
        <f t="shared" si="3"/>
        <v>5.9340277774026617E-2</v>
      </c>
    </row>
    <row r="81" spans="1:8" x14ac:dyDescent="0.45">
      <c r="A81" s="3" t="s">
        <v>422</v>
      </c>
      <c r="B81" s="3" t="s">
        <v>813</v>
      </c>
      <c r="C81" s="10">
        <v>45666.216562499998</v>
      </c>
      <c r="D81" s="3" t="s">
        <v>423</v>
      </c>
      <c r="E81" s="10">
        <v>45666.243206018517</v>
      </c>
      <c r="F81" s="10">
        <v>45666.29755787037</v>
      </c>
      <c r="G81" s="11">
        <f t="shared" si="2"/>
        <v>2.6643518518540077E-2</v>
      </c>
      <c r="H81" s="11">
        <f t="shared" si="3"/>
        <v>8.0995370371965691E-2</v>
      </c>
    </row>
    <row r="82" spans="1:8" x14ac:dyDescent="0.45">
      <c r="A82" s="3" t="s">
        <v>425</v>
      </c>
      <c r="B82" s="3" t="s">
        <v>813</v>
      </c>
      <c r="C82" s="10">
        <v>45666.216562499998</v>
      </c>
      <c r="D82" s="3" t="s">
        <v>423</v>
      </c>
      <c r="E82" s="10">
        <v>45666.243206018517</v>
      </c>
      <c r="F82" s="10">
        <v>45666.29755787037</v>
      </c>
      <c r="G82" s="11">
        <f t="shared" si="2"/>
        <v>2.6643518518540077E-2</v>
      </c>
      <c r="H82" s="11">
        <f t="shared" si="3"/>
        <v>8.0995370371965691E-2</v>
      </c>
    </row>
    <row r="83" spans="1:8" x14ac:dyDescent="0.45">
      <c r="A83" s="3" t="s">
        <v>427</v>
      </c>
      <c r="B83" s="3" t="s">
        <v>816</v>
      </c>
      <c r="C83" s="10">
        <v>45666.217465277783</v>
      </c>
      <c r="D83" s="3" t="s">
        <v>428</v>
      </c>
      <c r="E83" s="10">
        <v>45666.269976851851</v>
      </c>
      <c r="F83" s="10">
        <v>45666.32476851852</v>
      </c>
      <c r="G83" s="11">
        <f t="shared" si="2"/>
        <v>5.2511574067466427E-2</v>
      </c>
      <c r="H83" s="11">
        <f t="shared" si="3"/>
        <v>0.10730324073665543</v>
      </c>
    </row>
    <row r="84" spans="1:8" x14ac:dyDescent="0.45">
      <c r="A84" s="3" t="s">
        <v>430</v>
      </c>
      <c r="B84" s="3" t="s">
        <v>817</v>
      </c>
      <c r="C84" s="10">
        <v>45666.223877314813</v>
      </c>
      <c r="D84" s="3" t="s">
        <v>431</v>
      </c>
      <c r="E84" s="10">
        <v>45666.238599537042</v>
      </c>
      <c r="F84" s="10">
        <v>45666.270925925928</v>
      </c>
      <c r="G84" s="11">
        <f t="shared" si="2"/>
        <v>1.4722222229465842E-2</v>
      </c>
      <c r="H84" s="11">
        <f t="shared" si="3"/>
        <v>4.7048611115314998E-2</v>
      </c>
    </row>
    <row r="85" spans="1:8" x14ac:dyDescent="0.45">
      <c r="A85" s="3" t="s">
        <v>433</v>
      </c>
      <c r="B85" s="3" t="s">
        <v>817</v>
      </c>
      <c r="C85" s="10">
        <v>45666.223877314813</v>
      </c>
      <c r="D85" s="3" t="s">
        <v>431</v>
      </c>
      <c r="E85" s="10">
        <v>45666.238599537042</v>
      </c>
      <c r="F85" s="10">
        <v>45666.270925925928</v>
      </c>
      <c r="G85" s="11">
        <f t="shared" si="2"/>
        <v>1.4722222229465842E-2</v>
      </c>
      <c r="H85" s="11">
        <f t="shared" si="3"/>
        <v>4.7048611115314998E-2</v>
      </c>
    </row>
    <row r="86" spans="1:8" x14ac:dyDescent="0.45">
      <c r="A86" s="3" t="s">
        <v>435</v>
      </c>
      <c r="B86" s="3" t="s">
        <v>817</v>
      </c>
      <c r="C86" s="10">
        <v>45666.223877314813</v>
      </c>
      <c r="D86" s="3" t="s">
        <v>431</v>
      </c>
      <c r="E86" s="10">
        <v>45666.238599537042</v>
      </c>
      <c r="F86" s="10">
        <v>45666.270925925928</v>
      </c>
      <c r="G86" s="11">
        <f t="shared" si="2"/>
        <v>1.4722222229465842E-2</v>
      </c>
      <c r="H86" s="11">
        <f t="shared" si="3"/>
        <v>4.7048611115314998E-2</v>
      </c>
    </row>
    <row r="87" spans="1:8" x14ac:dyDescent="0.45">
      <c r="A87" s="3" t="s">
        <v>437</v>
      </c>
      <c r="B87" s="3" t="s">
        <v>813</v>
      </c>
      <c r="C87" s="10">
        <v>45666.235775462963</v>
      </c>
      <c r="D87" s="3" t="s">
        <v>423</v>
      </c>
      <c r="E87" s="10">
        <v>45666.243206018517</v>
      </c>
      <c r="F87" s="10">
        <v>45666.29755787037</v>
      </c>
      <c r="G87" s="11">
        <f t="shared" si="2"/>
        <v>7.4305555535829626E-3</v>
      </c>
      <c r="H87" s="11">
        <f t="shared" si="3"/>
        <v>6.1782407407008577E-2</v>
      </c>
    </row>
    <row r="88" spans="1:8" x14ac:dyDescent="0.45">
      <c r="A88" s="3" t="s">
        <v>439</v>
      </c>
      <c r="B88" s="3" t="s">
        <v>815</v>
      </c>
      <c r="C88" s="10">
        <v>45666.237013888887</v>
      </c>
      <c r="D88" s="3" t="s">
        <v>440</v>
      </c>
      <c r="E88" s="10">
        <v>45666.264606481483</v>
      </c>
      <c r="F88" s="10">
        <v>45666.317777777767</v>
      </c>
      <c r="G88" s="11">
        <f t="shared" si="2"/>
        <v>2.7592592596192844E-2</v>
      </c>
      <c r="H88" s="11">
        <f t="shared" si="3"/>
        <v>8.0763888880028389E-2</v>
      </c>
    </row>
    <row r="89" spans="1:8" x14ac:dyDescent="0.45">
      <c r="A89" s="3" t="s">
        <v>442</v>
      </c>
      <c r="B89" s="3" t="s">
        <v>814</v>
      </c>
      <c r="C89" s="10">
        <v>45666.238368055558</v>
      </c>
      <c r="D89" s="3" t="s">
        <v>351</v>
      </c>
      <c r="E89" s="10">
        <v>45667.337592592587</v>
      </c>
      <c r="F89" s="10">
        <v>45667.361377314817</v>
      </c>
      <c r="G89" s="11">
        <f t="shared" si="2"/>
        <v>1.0992245370289311</v>
      </c>
      <c r="H89" s="11">
        <f t="shared" si="3"/>
        <v>1.1230092592595611</v>
      </c>
    </row>
    <row r="90" spans="1:8" x14ac:dyDescent="0.45">
      <c r="A90" s="3" t="s">
        <v>444</v>
      </c>
      <c r="B90" s="3" t="s">
        <v>815</v>
      </c>
      <c r="C90" s="10">
        <v>45666.239571759259</v>
      </c>
      <c r="D90" s="3" t="s">
        <v>440</v>
      </c>
      <c r="E90" s="10">
        <v>45666.264606481483</v>
      </c>
      <c r="F90" s="10">
        <v>45666.317777777767</v>
      </c>
      <c r="G90" s="11">
        <f t="shared" si="2"/>
        <v>2.5034722224518191E-2</v>
      </c>
      <c r="H90" s="11">
        <f t="shared" si="3"/>
        <v>7.8206018508353736E-2</v>
      </c>
    </row>
    <row r="91" spans="1:8" x14ac:dyDescent="0.45">
      <c r="A91" s="3" t="s">
        <v>446</v>
      </c>
      <c r="B91" s="3" t="s">
        <v>816</v>
      </c>
      <c r="C91" s="10">
        <v>45666.241724537038</v>
      </c>
      <c r="D91" s="3" t="s">
        <v>428</v>
      </c>
      <c r="E91" s="10">
        <v>45666.269976851851</v>
      </c>
      <c r="F91" s="10">
        <v>45666.32476851852</v>
      </c>
      <c r="G91" s="11">
        <f t="shared" si="2"/>
        <v>2.8252314812561963E-2</v>
      </c>
      <c r="H91" s="11">
        <f t="shared" si="3"/>
        <v>8.3043981481750961E-2</v>
      </c>
    </row>
    <row r="92" spans="1:8" x14ac:dyDescent="0.45">
      <c r="A92" s="3" t="s">
        <v>448</v>
      </c>
      <c r="B92" s="3" t="s">
        <v>816</v>
      </c>
      <c r="C92" s="10">
        <v>45666.241724537038</v>
      </c>
      <c r="D92" s="3" t="s">
        <v>428</v>
      </c>
      <c r="E92" s="10">
        <v>45666.269976851851</v>
      </c>
      <c r="F92" s="10">
        <v>45666.32476851852</v>
      </c>
      <c r="G92" s="11">
        <f t="shared" si="2"/>
        <v>2.8252314812561963E-2</v>
      </c>
      <c r="H92" s="11">
        <f t="shared" si="3"/>
        <v>8.3043981481750961E-2</v>
      </c>
    </row>
    <row r="93" spans="1:8" x14ac:dyDescent="0.45">
      <c r="A93" s="3" t="s">
        <v>450</v>
      </c>
      <c r="B93" s="3" t="s">
        <v>816</v>
      </c>
      <c r="C93" s="10">
        <v>45666.241724537038</v>
      </c>
      <c r="D93" s="3" t="s">
        <v>428</v>
      </c>
      <c r="E93" s="10">
        <v>45666.269976851851</v>
      </c>
      <c r="F93" s="10">
        <v>45666.32476851852</v>
      </c>
      <c r="G93" s="11">
        <f t="shared" si="2"/>
        <v>2.8252314812561963E-2</v>
      </c>
      <c r="H93" s="11">
        <f t="shared" si="3"/>
        <v>8.3043981481750961E-2</v>
      </c>
    </row>
    <row r="94" spans="1:8" x14ac:dyDescent="0.45">
      <c r="A94" s="3" t="s">
        <v>452</v>
      </c>
      <c r="B94" s="3" t="s">
        <v>816</v>
      </c>
      <c r="C94" s="10">
        <v>45666.241724537038</v>
      </c>
      <c r="D94" s="3" t="s">
        <v>428</v>
      </c>
      <c r="E94" s="10">
        <v>45666.269976851851</v>
      </c>
      <c r="F94" s="10">
        <v>45666.32476851852</v>
      </c>
      <c r="G94" s="11">
        <f t="shared" si="2"/>
        <v>2.8252314812561963E-2</v>
      </c>
      <c r="H94" s="11">
        <f t="shared" si="3"/>
        <v>8.3043981481750961E-2</v>
      </c>
    </row>
    <row r="95" spans="1:8" x14ac:dyDescent="0.45">
      <c r="A95" s="3" t="s">
        <v>454</v>
      </c>
      <c r="B95" s="3" t="s">
        <v>815</v>
      </c>
      <c r="C95" s="10">
        <v>45666.243958333333</v>
      </c>
      <c r="D95" s="3" t="s">
        <v>440</v>
      </c>
      <c r="E95" s="10">
        <v>45666.264606481483</v>
      </c>
      <c r="F95" s="10">
        <v>45666.317777777767</v>
      </c>
      <c r="G95" s="11">
        <f t="shared" si="2"/>
        <v>2.064814815093996E-2</v>
      </c>
      <c r="H95" s="11">
        <f t="shared" si="3"/>
        <v>7.3819444434775505E-2</v>
      </c>
    </row>
    <row r="96" spans="1:8" x14ac:dyDescent="0.45">
      <c r="A96" s="3" t="s">
        <v>456</v>
      </c>
      <c r="B96" s="3" t="s">
        <v>815</v>
      </c>
      <c r="C96" s="10">
        <v>45666.243958333333</v>
      </c>
      <c r="D96" s="3" t="s">
        <v>440</v>
      </c>
      <c r="E96" s="10">
        <v>45666.264606481483</v>
      </c>
      <c r="F96" s="10">
        <v>45666.317777777767</v>
      </c>
      <c r="G96" s="11">
        <f t="shared" si="2"/>
        <v>2.064814815093996E-2</v>
      </c>
      <c r="H96" s="11">
        <f t="shared" si="3"/>
        <v>7.3819444434775505E-2</v>
      </c>
    </row>
    <row r="97" spans="1:8" x14ac:dyDescent="0.45">
      <c r="A97" s="3" t="s">
        <v>458</v>
      </c>
      <c r="B97" s="3" t="s">
        <v>815</v>
      </c>
      <c r="C97" s="10">
        <v>45666.243958333333</v>
      </c>
      <c r="D97" s="3" t="s">
        <v>440</v>
      </c>
      <c r="E97" s="10">
        <v>45666.264606481483</v>
      </c>
      <c r="F97" s="10">
        <v>45666.317777777767</v>
      </c>
      <c r="G97" s="11">
        <f t="shared" si="2"/>
        <v>2.064814815093996E-2</v>
      </c>
      <c r="H97" s="11">
        <f t="shared" si="3"/>
        <v>7.3819444434775505E-2</v>
      </c>
    </row>
    <row r="98" spans="1:8" x14ac:dyDescent="0.45">
      <c r="A98" s="3" t="s">
        <v>460</v>
      </c>
      <c r="B98" s="3" t="s">
        <v>818</v>
      </c>
      <c r="C98" s="10">
        <v>45666.246157407397</v>
      </c>
      <c r="D98" s="3" t="s">
        <v>461</v>
      </c>
      <c r="E98" s="10">
        <v>45666.572048611109</v>
      </c>
      <c r="F98" s="10">
        <v>45666.604201388887</v>
      </c>
      <c r="G98" s="11">
        <f t="shared" si="2"/>
        <v>0.325891203712672</v>
      </c>
      <c r="H98" s="11">
        <f t="shared" si="3"/>
        <v>0.35804398149048211</v>
      </c>
    </row>
    <row r="99" spans="1:8" x14ac:dyDescent="0.45">
      <c r="A99" s="3" t="s">
        <v>463</v>
      </c>
      <c r="B99" s="3" t="s">
        <v>818</v>
      </c>
      <c r="C99" s="10">
        <v>45666.246157407397</v>
      </c>
      <c r="D99" s="3" t="s">
        <v>461</v>
      </c>
      <c r="E99" s="10">
        <v>45666.572048611109</v>
      </c>
      <c r="F99" s="10">
        <v>45666.604201388887</v>
      </c>
      <c r="G99" s="11">
        <f t="shared" si="2"/>
        <v>0.325891203712672</v>
      </c>
      <c r="H99" s="11">
        <f t="shared" si="3"/>
        <v>0.35804398149048211</v>
      </c>
    </row>
    <row r="100" spans="1:8" x14ac:dyDescent="0.45">
      <c r="A100" s="3" t="s">
        <v>465</v>
      </c>
      <c r="B100" s="3" t="s">
        <v>818</v>
      </c>
      <c r="C100" s="10">
        <v>45666.246157407397</v>
      </c>
      <c r="D100" s="3" t="s">
        <v>461</v>
      </c>
      <c r="E100" s="10">
        <v>45666.572048611109</v>
      </c>
      <c r="F100" s="10">
        <v>45666.604201388887</v>
      </c>
      <c r="G100" s="11">
        <f t="shared" si="2"/>
        <v>0.325891203712672</v>
      </c>
      <c r="H100" s="11">
        <f t="shared" si="3"/>
        <v>0.35804398149048211</v>
      </c>
    </row>
    <row r="101" spans="1:8" x14ac:dyDescent="0.45">
      <c r="A101" s="3" t="s">
        <v>467</v>
      </c>
      <c r="B101" s="3" t="s">
        <v>819</v>
      </c>
      <c r="C101" s="10">
        <v>45666.24931712963</v>
      </c>
      <c r="D101" s="3" t="s">
        <v>468</v>
      </c>
      <c r="E101" s="10">
        <v>45666.280486111107</v>
      </c>
      <c r="F101" s="10">
        <v>45666.347048611111</v>
      </c>
      <c r="G101" s="11">
        <f t="shared" si="2"/>
        <v>3.1168981477094349E-2</v>
      </c>
      <c r="H101" s="11">
        <f t="shared" si="3"/>
        <v>9.7731481480877846E-2</v>
      </c>
    </row>
    <row r="102" spans="1:8" x14ac:dyDescent="0.45">
      <c r="A102" s="3" t="s">
        <v>470</v>
      </c>
      <c r="B102" s="3" t="s">
        <v>819</v>
      </c>
      <c r="C102" s="10">
        <v>45666.24931712963</v>
      </c>
      <c r="D102" s="3" t="s">
        <v>468</v>
      </c>
      <c r="E102" s="10">
        <v>45666.280486111107</v>
      </c>
      <c r="F102" s="10">
        <v>45666.347048611111</v>
      </c>
      <c r="G102" s="11">
        <f t="shared" si="2"/>
        <v>3.1168981477094349E-2</v>
      </c>
      <c r="H102" s="11">
        <f t="shared" si="3"/>
        <v>9.7731481480877846E-2</v>
      </c>
    </row>
    <row r="103" spans="1:8" x14ac:dyDescent="0.45">
      <c r="A103" s="3" t="s">
        <v>472</v>
      </c>
      <c r="B103" s="3" t="s">
        <v>819</v>
      </c>
      <c r="C103" s="10">
        <v>45666.24931712963</v>
      </c>
      <c r="D103" s="3" t="s">
        <v>468</v>
      </c>
      <c r="E103" s="10">
        <v>45666.280486111107</v>
      </c>
      <c r="F103" s="10">
        <v>45666.347048611111</v>
      </c>
      <c r="G103" s="11">
        <f t="shared" si="2"/>
        <v>3.1168981477094349E-2</v>
      </c>
      <c r="H103" s="11">
        <f t="shared" si="3"/>
        <v>9.7731481480877846E-2</v>
      </c>
    </row>
    <row r="104" spans="1:8" x14ac:dyDescent="0.45">
      <c r="A104" s="3" t="s">
        <v>474</v>
      </c>
      <c r="B104" s="3" t="s">
        <v>821</v>
      </c>
      <c r="C104" s="10">
        <v>45666.255925925929</v>
      </c>
      <c r="D104" s="3" t="s">
        <v>475</v>
      </c>
      <c r="E104" s="10">
        <v>45666.278877314813</v>
      </c>
      <c r="F104" s="10">
        <v>45666.321608796286</v>
      </c>
      <c r="G104" s="11">
        <f t="shared" si="2"/>
        <v>2.2951388884393964E-2</v>
      </c>
      <c r="H104" s="11">
        <f t="shared" si="3"/>
        <v>6.5682870357704815E-2</v>
      </c>
    </row>
    <row r="105" spans="1:8" x14ac:dyDescent="0.45">
      <c r="A105" s="3" t="s">
        <v>477</v>
      </c>
      <c r="B105" s="3" t="s">
        <v>820</v>
      </c>
      <c r="C105" s="10">
        <v>45666.257152777784</v>
      </c>
      <c r="D105" s="3" t="s">
        <v>478</v>
      </c>
      <c r="E105" s="10">
        <v>45667.703483796293</v>
      </c>
      <c r="F105" s="10">
        <v>45667.732928240737</v>
      </c>
      <c r="G105" s="11">
        <f t="shared" si="2"/>
        <v>1.4463310185092269</v>
      </c>
      <c r="H105" s="11">
        <f t="shared" si="3"/>
        <v>1.4757754629536066</v>
      </c>
    </row>
    <row r="106" spans="1:8" x14ac:dyDescent="0.45">
      <c r="A106" s="3" t="s">
        <v>480</v>
      </c>
      <c r="B106" s="3" t="s">
        <v>821</v>
      </c>
      <c r="C106" s="10">
        <v>45666.258287037039</v>
      </c>
      <c r="D106" s="3" t="s">
        <v>475</v>
      </c>
      <c r="E106" s="10">
        <v>45666.278877314813</v>
      </c>
      <c r="F106" s="10">
        <v>45666.321608796286</v>
      </c>
      <c r="G106" s="11">
        <f t="shared" si="2"/>
        <v>2.0590277774317656E-2</v>
      </c>
      <c r="H106" s="11">
        <f t="shared" si="3"/>
        <v>6.3321759247628506E-2</v>
      </c>
    </row>
    <row r="107" spans="1:8" x14ac:dyDescent="0.45">
      <c r="A107" s="3" t="s">
        <v>482</v>
      </c>
      <c r="B107" s="3" t="s">
        <v>817</v>
      </c>
      <c r="C107" s="10">
        <v>45666.468043981477</v>
      </c>
      <c r="D107" s="3" t="s">
        <v>483</v>
      </c>
      <c r="E107" s="10">
        <v>45666.475416666668</v>
      </c>
      <c r="F107" s="10">
        <v>45666.500081018523</v>
      </c>
      <c r="G107" s="11">
        <f t="shared" si="2"/>
        <v>7.3726851915125735E-3</v>
      </c>
      <c r="H107" s="11">
        <f t="shared" si="3"/>
        <v>3.203703704639338E-2</v>
      </c>
    </row>
    <row r="108" spans="1:8" x14ac:dyDescent="0.45">
      <c r="A108" s="3" t="s">
        <v>485</v>
      </c>
      <c r="B108" s="3" t="s">
        <v>817</v>
      </c>
      <c r="C108" s="10">
        <v>45666.468043981477</v>
      </c>
      <c r="D108" s="3" t="s">
        <v>483</v>
      </c>
      <c r="E108" s="10">
        <v>45666.475416666668</v>
      </c>
      <c r="F108" s="10">
        <v>45666.500081018523</v>
      </c>
      <c r="G108" s="11">
        <f t="shared" si="2"/>
        <v>7.3726851915125735E-3</v>
      </c>
      <c r="H108" s="11">
        <f t="shared" si="3"/>
        <v>3.203703704639338E-2</v>
      </c>
    </row>
    <row r="109" spans="1:8" x14ac:dyDescent="0.45">
      <c r="A109" s="3" t="s">
        <v>487</v>
      </c>
      <c r="B109" s="3" t="s">
        <v>817</v>
      </c>
      <c r="C109" s="10">
        <v>45666.468043981477</v>
      </c>
      <c r="D109" s="3" t="s">
        <v>483</v>
      </c>
      <c r="E109" s="10">
        <v>45666.475416666668</v>
      </c>
      <c r="F109" s="10">
        <v>45666.500081018523</v>
      </c>
      <c r="G109" s="11">
        <f t="shared" si="2"/>
        <v>7.3726851915125735E-3</v>
      </c>
      <c r="H109" s="11">
        <f t="shared" si="3"/>
        <v>3.203703704639338E-2</v>
      </c>
    </row>
    <row r="110" spans="1:8" x14ac:dyDescent="0.45">
      <c r="A110" s="3" t="s">
        <v>489</v>
      </c>
      <c r="B110" s="3" t="s">
        <v>813</v>
      </c>
      <c r="C110" s="10">
        <v>45666.468912037039</v>
      </c>
      <c r="D110" s="3" t="s">
        <v>490</v>
      </c>
      <c r="E110" s="10">
        <v>45666.484537037039</v>
      </c>
      <c r="F110" s="10">
        <v>45666.522465277783</v>
      </c>
      <c r="G110" s="11">
        <f t="shared" si="2"/>
        <v>1.5625E-2</v>
      </c>
      <c r="H110" s="11">
        <f t="shared" si="3"/>
        <v>5.3553240744804498E-2</v>
      </c>
    </row>
    <row r="111" spans="1:8" x14ac:dyDescent="0.45">
      <c r="A111" s="3" t="s">
        <v>492</v>
      </c>
      <c r="B111" s="3" t="s">
        <v>813</v>
      </c>
      <c r="C111" s="10">
        <v>45666.470613425918</v>
      </c>
      <c r="D111" s="3" t="s">
        <v>490</v>
      </c>
      <c r="E111" s="10">
        <v>45666.484537037039</v>
      </c>
      <c r="F111" s="10">
        <v>45666.522465277783</v>
      </c>
      <c r="G111" s="11">
        <f t="shared" si="2"/>
        <v>1.3923611120844726E-2</v>
      </c>
      <c r="H111" s="11">
        <f t="shared" si="3"/>
        <v>5.1851851865649223E-2</v>
      </c>
    </row>
    <row r="112" spans="1:8" x14ac:dyDescent="0.45">
      <c r="A112" s="3" t="s">
        <v>494</v>
      </c>
      <c r="B112" s="3" t="s">
        <v>816</v>
      </c>
      <c r="C112" s="10">
        <v>45666.471504629633</v>
      </c>
      <c r="D112" s="3" t="s">
        <v>495</v>
      </c>
      <c r="E112" s="10">
        <v>45666.575972222221</v>
      </c>
      <c r="F112" s="10">
        <v>45666.624583333331</v>
      </c>
      <c r="G112" s="11">
        <f t="shared" si="2"/>
        <v>0.10446759258775273</v>
      </c>
      <c r="H112" s="11">
        <f t="shared" si="3"/>
        <v>0.15307870369724697</v>
      </c>
    </row>
    <row r="113" spans="1:8" x14ac:dyDescent="0.45">
      <c r="A113" s="3" t="s">
        <v>497</v>
      </c>
      <c r="B113" s="3" t="s">
        <v>813</v>
      </c>
      <c r="C113" s="10">
        <v>45666.472488425927</v>
      </c>
      <c r="D113" s="3" t="s">
        <v>490</v>
      </c>
      <c r="E113" s="10">
        <v>45666.484537037039</v>
      </c>
      <c r="F113" s="10">
        <v>45666.522465277783</v>
      </c>
      <c r="G113" s="11">
        <f t="shared" si="2"/>
        <v>1.2048611111822538E-2</v>
      </c>
      <c r="H113" s="11">
        <f t="shared" si="3"/>
        <v>4.9976851856627036E-2</v>
      </c>
    </row>
    <row r="114" spans="1:8" x14ac:dyDescent="0.45">
      <c r="A114" s="3" t="s">
        <v>499</v>
      </c>
      <c r="B114" s="3" t="s">
        <v>813</v>
      </c>
      <c r="C114" s="10">
        <v>45666.472488425927</v>
      </c>
      <c r="D114" s="3" t="s">
        <v>490</v>
      </c>
      <c r="E114" s="10">
        <v>45666.484537037039</v>
      </c>
      <c r="F114" s="10">
        <v>45666.522465277783</v>
      </c>
      <c r="G114" s="11">
        <f t="shared" si="2"/>
        <v>1.2048611111822538E-2</v>
      </c>
      <c r="H114" s="11">
        <f t="shared" si="3"/>
        <v>4.9976851856627036E-2</v>
      </c>
    </row>
    <row r="115" spans="1:8" x14ac:dyDescent="0.45">
      <c r="A115" s="3" t="s">
        <v>501</v>
      </c>
      <c r="B115" s="3" t="s">
        <v>813</v>
      </c>
      <c r="C115" s="10">
        <v>45666.552245370367</v>
      </c>
      <c r="D115" s="3" t="s">
        <v>502</v>
      </c>
      <c r="E115" s="10">
        <v>45666.570324074077</v>
      </c>
      <c r="F115" s="10">
        <v>45666.605081018519</v>
      </c>
      <c r="G115" s="11">
        <f t="shared" si="2"/>
        <v>1.8078703709761612E-2</v>
      </c>
      <c r="H115" s="11">
        <f t="shared" si="3"/>
        <v>5.2835648151813075E-2</v>
      </c>
    </row>
    <row r="116" spans="1:8" x14ac:dyDescent="0.45">
      <c r="A116" s="3" t="s">
        <v>504</v>
      </c>
      <c r="B116" s="3" t="s">
        <v>813</v>
      </c>
      <c r="C116" s="10">
        <v>45666.552245370367</v>
      </c>
      <c r="D116" s="3" t="s">
        <v>502</v>
      </c>
      <c r="E116" s="10">
        <v>45666.570324074077</v>
      </c>
      <c r="F116" s="10">
        <v>45666.605081018519</v>
      </c>
      <c r="G116" s="11">
        <f t="shared" si="2"/>
        <v>1.8078703709761612E-2</v>
      </c>
      <c r="H116" s="11">
        <f t="shared" si="3"/>
        <v>5.2835648151813075E-2</v>
      </c>
    </row>
    <row r="117" spans="1:8" x14ac:dyDescent="0.45">
      <c r="A117" s="3" t="s">
        <v>506</v>
      </c>
      <c r="B117" s="3" t="s">
        <v>817</v>
      </c>
      <c r="C117" s="10">
        <v>45666.554062499999</v>
      </c>
      <c r="D117" s="3" t="s">
        <v>507</v>
      </c>
      <c r="E117" s="10">
        <v>45666.565347222233</v>
      </c>
      <c r="F117" s="10">
        <v>45666.603321759263</v>
      </c>
      <c r="G117" s="11">
        <f t="shared" si="2"/>
        <v>1.1284722233540379E-2</v>
      </c>
      <c r="H117" s="11">
        <f t="shared" si="3"/>
        <v>4.9259259263635613E-2</v>
      </c>
    </row>
    <row r="118" spans="1:8" x14ac:dyDescent="0.45">
      <c r="A118" s="3" t="s">
        <v>509</v>
      </c>
      <c r="B118" s="3" t="s">
        <v>817</v>
      </c>
      <c r="C118" s="10">
        <v>45666.554062499999</v>
      </c>
      <c r="D118" s="3" t="s">
        <v>507</v>
      </c>
      <c r="E118" s="10">
        <v>45666.565347222233</v>
      </c>
      <c r="F118" s="10">
        <v>45666.603321759263</v>
      </c>
      <c r="G118" s="11">
        <f t="shared" si="2"/>
        <v>1.1284722233540379E-2</v>
      </c>
      <c r="H118" s="11">
        <f t="shared" si="3"/>
        <v>4.9259259263635613E-2</v>
      </c>
    </row>
    <row r="119" spans="1:8" x14ac:dyDescent="0.45">
      <c r="A119" s="3" t="s">
        <v>511</v>
      </c>
      <c r="B119" s="3" t="s">
        <v>817</v>
      </c>
      <c r="C119" s="10">
        <v>45666.554062499999</v>
      </c>
      <c r="D119" s="3" t="s">
        <v>507</v>
      </c>
      <c r="E119" s="10">
        <v>45666.565347222233</v>
      </c>
      <c r="F119" s="10">
        <v>45666.603321759263</v>
      </c>
      <c r="G119" s="11">
        <f t="shared" si="2"/>
        <v>1.1284722233540379E-2</v>
      </c>
      <c r="H119" s="11">
        <f t="shared" si="3"/>
        <v>4.9259259263635613E-2</v>
      </c>
    </row>
    <row r="120" spans="1:8" x14ac:dyDescent="0.45">
      <c r="A120" s="3" t="s">
        <v>513</v>
      </c>
      <c r="B120" s="3" t="s">
        <v>816</v>
      </c>
      <c r="C120" s="10">
        <v>45666.557511574072</v>
      </c>
      <c r="D120" s="3" t="s">
        <v>495</v>
      </c>
      <c r="E120" s="10">
        <v>45666.575972222221</v>
      </c>
      <c r="F120" s="10">
        <v>45666.624583333331</v>
      </c>
      <c r="G120" s="11">
        <f t="shared" si="2"/>
        <v>1.8460648148902692E-2</v>
      </c>
      <c r="H120" s="11">
        <f t="shared" si="3"/>
        <v>6.7071759258396924E-2</v>
      </c>
    </row>
    <row r="121" spans="1:8" x14ac:dyDescent="0.45">
      <c r="A121" s="3" t="s">
        <v>515</v>
      </c>
      <c r="B121" s="3" t="s">
        <v>813</v>
      </c>
      <c r="C121" s="10">
        <v>45666.558472222219</v>
      </c>
      <c r="D121" s="3" t="s">
        <v>502</v>
      </c>
      <c r="E121" s="10">
        <v>45666.570324074077</v>
      </c>
      <c r="F121" s="10">
        <v>45666.605081018519</v>
      </c>
      <c r="G121" s="11">
        <f t="shared" si="2"/>
        <v>1.1851851857500151E-2</v>
      </c>
      <c r="H121" s="11">
        <f t="shared" si="3"/>
        <v>4.6608796299551614E-2</v>
      </c>
    </row>
    <row r="122" spans="1:8" x14ac:dyDescent="0.45">
      <c r="A122" s="3" t="s">
        <v>517</v>
      </c>
      <c r="B122" s="3" t="s">
        <v>813</v>
      </c>
      <c r="C122" s="10">
        <v>45666.558472222219</v>
      </c>
      <c r="D122" s="3" t="s">
        <v>502</v>
      </c>
      <c r="E122" s="10">
        <v>45666.570324074077</v>
      </c>
      <c r="F122" s="10">
        <v>45666.605081018519</v>
      </c>
      <c r="G122" s="11">
        <f t="shared" si="2"/>
        <v>1.1851851857500151E-2</v>
      </c>
      <c r="H122" s="11">
        <f t="shared" si="3"/>
        <v>4.6608796299551614E-2</v>
      </c>
    </row>
    <row r="123" spans="1:8" x14ac:dyDescent="0.45">
      <c r="A123" s="3" t="s">
        <v>519</v>
      </c>
      <c r="B123" s="3" t="s">
        <v>818</v>
      </c>
      <c r="C123" s="10">
        <v>45666.559837962966</v>
      </c>
      <c r="D123" s="3" t="s">
        <v>461</v>
      </c>
      <c r="E123" s="10">
        <v>45666.572048611109</v>
      </c>
      <c r="F123" s="10">
        <v>45666.604201388887</v>
      </c>
      <c r="G123" s="11">
        <f t="shared" si="2"/>
        <v>1.2210648143081926E-2</v>
      </c>
      <c r="H123" s="11">
        <f t="shared" si="3"/>
        <v>4.4363425920892041E-2</v>
      </c>
    </row>
    <row r="124" spans="1:8" x14ac:dyDescent="0.45">
      <c r="A124" s="3" t="s">
        <v>521</v>
      </c>
      <c r="B124" s="3" t="s">
        <v>815</v>
      </c>
      <c r="C124" s="10">
        <v>45666.566840277781</v>
      </c>
      <c r="D124" s="3" t="s">
        <v>522</v>
      </c>
      <c r="E124" s="10">
        <v>45666.957453703697</v>
      </c>
      <c r="F124" s="10">
        <v>45666.992696759262</v>
      </c>
      <c r="G124" s="11">
        <f t="shared" si="2"/>
        <v>0.39061342591594439</v>
      </c>
      <c r="H124" s="11">
        <f t="shared" si="3"/>
        <v>0.42585648148087785</v>
      </c>
    </row>
    <row r="125" spans="1:8" x14ac:dyDescent="0.45">
      <c r="A125" s="3" t="s">
        <v>524</v>
      </c>
      <c r="B125" s="3" t="s">
        <v>816</v>
      </c>
      <c r="C125" s="10">
        <v>45666.567777777767</v>
      </c>
      <c r="D125" s="3" t="s">
        <v>495</v>
      </c>
      <c r="E125" s="10">
        <v>45666.575972222221</v>
      </c>
      <c r="F125" s="10">
        <v>45666.624583333331</v>
      </c>
      <c r="G125" s="11">
        <f t="shared" si="2"/>
        <v>8.194444453692995E-3</v>
      </c>
      <c r="H125" s="11">
        <f t="shared" si="3"/>
        <v>5.6805555563187227E-2</v>
      </c>
    </row>
    <row r="126" spans="1:8" x14ac:dyDescent="0.45">
      <c r="A126" s="3" t="s">
        <v>526</v>
      </c>
      <c r="B126" s="3" t="s">
        <v>819</v>
      </c>
      <c r="C126" s="10">
        <v>45666.578611111108</v>
      </c>
      <c r="D126" s="3" t="s">
        <v>527</v>
      </c>
      <c r="E126" s="10">
        <v>45666.614548611113</v>
      </c>
      <c r="F126" s="10">
        <v>45666.642638888887</v>
      </c>
      <c r="G126" s="11">
        <f t="shared" si="2"/>
        <v>3.5937500004365575E-2</v>
      </c>
      <c r="H126" s="11">
        <f t="shared" si="3"/>
        <v>6.4027777778392192E-2</v>
      </c>
    </row>
    <row r="127" spans="1:8" x14ac:dyDescent="0.45">
      <c r="A127" s="3" t="s">
        <v>529</v>
      </c>
      <c r="B127" s="3" t="s">
        <v>821</v>
      </c>
      <c r="C127" s="10">
        <v>45666.579930555563</v>
      </c>
      <c r="D127" s="3" t="s">
        <v>530</v>
      </c>
      <c r="E127" s="10">
        <v>45666.617349537039</v>
      </c>
      <c r="F127" s="10">
        <v>45666.641759259262</v>
      </c>
      <c r="G127" s="11">
        <f t="shared" si="2"/>
        <v>3.7418981475639157E-2</v>
      </c>
      <c r="H127" s="11">
        <f t="shared" si="3"/>
        <v>6.1828703699575271E-2</v>
      </c>
    </row>
    <row r="128" spans="1:8" x14ac:dyDescent="0.45">
      <c r="A128" s="3" t="s">
        <v>532</v>
      </c>
      <c r="B128" s="3" t="s">
        <v>821</v>
      </c>
      <c r="C128" s="10">
        <v>45666.579930555563</v>
      </c>
      <c r="D128" s="3" t="s">
        <v>530</v>
      </c>
      <c r="E128" s="10">
        <v>45666.617349537039</v>
      </c>
      <c r="F128" s="10">
        <v>45666.641759259262</v>
      </c>
      <c r="G128" s="11">
        <f t="shared" si="2"/>
        <v>3.7418981475639157E-2</v>
      </c>
      <c r="H128" s="11">
        <f t="shared" si="3"/>
        <v>6.1828703699575271E-2</v>
      </c>
    </row>
    <row r="129" spans="1:8" x14ac:dyDescent="0.45">
      <c r="A129" s="3" t="s">
        <v>534</v>
      </c>
      <c r="B129" s="3" t="s">
        <v>822</v>
      </c>
      <c r="C129" s="10">
        <v>45666.588472222233</v>
      </c>
      <c r="D129" s="3" t="s">
        <v>535</v>
      </c>
      <c r="E129" s="10">
        <v>45666.61990740741</v>
      </c>
      <c r="F129" s="10">
        <v>45666.648680555547</v>
      </c>
      <c r="G129" s="11">
        <f t="shared" si="2"/>
        <v>3.1435185177542735E-2</v>
      </c>
      <c r="H129" s="11">
        <f t="shared" si="3"/>
        <v>6.0208333314221818E-2</v>
      </c>
    </row>
    <row r="130" spans="1:8" x14ac:dyDescent="0.45">
      <c r="A130" s="3" t="s">
        <v>537</v>
      </c>
      <c r="B130" s="3" t="s">
        <v>819</v>
      </c>
      <c r="C130" s="10">
        <v>45666.589745370373</v>
      </c>
      <c r="D130" s="3" t="s">
        <v>527</v>
      </c>
      <c r="E130" s="10">
        <v>45666.614548611113</v>
      </c>
      <c r="F130" s="10">
        <v>45666.642638888887</v>
      </c>
      <c r="G130" s="11">
        <f t="shared" ref="G130:G193" si="4">IF(AND(ISNUMBER(C130),ISNUMBER(E130)),(E130-C130),"")</f>
        <v>2.4803240739856847E-2</v>
      </c>
      <c r="H130" s="11">
        <f t="shared" ref="H130:H193" si="5">IF(AND(ISNUMBER(C130),ISNUMBER(F130)),(F130-C130),"")</f>
        <v>5.2893518513883464E-2</v>
      </c>
    </row>
    <row r="131" spans="1:8" x14ac:dyDescent="0.45">
      <c r="A131" s="3" t="s">
        <v>539</v>
      </c>
      <c r="B131" s="3" t="s">
        <v>822</v>
      </c>
      <c r="C131" s="10">
        <v>45666.590810185182</v>
      </c>
      <c r="D131" s="3" t="s">
        <v>535</v>
      </c>
      <c r="E131" s="10">
        <v>45666.61990740741</v>
      </c>
      <c r="F131" s="10">
        <v>45666.648680555547</v>
      </c>
      <c r="G131" s="11">
        <f t="shared" si="4"/>
        <v>2.9097222228301689E-2</v>
      </c>
      <c r="H131" s="11">
        <f t="shared" si="5"/>
        <v>5.7870370364980772E-2</v>
      </c>
    </row>
    <row r="132" spans="1:8" x14ac:dyDescent="0.45">
      <c r="A132" s="3" t="s">
        <v>541</v>
      </c>
      <c r="B132" s="3" t="s">
        <v>813</v>
      </c>
      <c r="C132" s="10">
        <v>45666.800451388888</v>
      </c>
      <c r="D132" s="3" t="s">
        <v>542</v>
      </c>
      <c r="E132" s="10">
        <v>45666.811932870369</v>
      </c>
      <c r="F132" s="10">
        <v>45666.842442129629</v>
      </c>
      <c r="G132" s="11">
        <f t="shared" si="4"/>
        <v>1.1481481480586808E-2</v>
      </c>
      <c r="H132" s="11">
        <f t="shared" si="5"/>
        <v>4.1990740741312038E-2</v>
      </c>
    </row>
    <row r="133" spans="1:8" x14ac:dyDescent="0.45">
      <c r="A133" s="3" t="s">
        <v>544</v>
      </c>
      <c r="B133" s="3" t="s">
        <v>813</v>
      </c>
      <c r="C133" s="10">
        <v>45666.800451388888</v>
      </c>
      <c r="D133" s="3" t="s">
        <v>542</v>
      </c>
      <c r="E133" s="10">
        <v>45666.811932870369</v>
      </c>
      <c r="F133" s="10">
        <v>45666.842442129629</v>
      </c>
      <c r="G133" s="11">
        <f t="shared" si="4"/>
        <v>1.1481481480586808E-2</v>
      </c>
      <c r="H133" s="11">
        <f t="shared" si="5"/>
        <v>4.1990740741312038E-2</v>
      </c>
    </row>
    <row r="134" spans="1:8" x14ac:dyDescent="0.45">
      <c r="A134" s="3" t="s">
        <v>546</v>
      </c>
      <c r="B134" s="3" t="s">
        <v>816</v>
      </c>
      <c r="C134" s="10">
        <v>45666.809155092589</v>
      </c>
      <c r="D134" s="3" t="s">
        <v>547</v>
      </c>
      <c r="E134" s="10">
        <v>45666.823553240742</v>
      </c>
      <c r="F134" s="10">
        <v>45666.855821759258</v>
      </c>
      <c r="G134" s="11">
        <f t="shared" si="4"/>
        <v>1.4398148152395152E-2</v>
      </c>
      <c r="H134" s="11">
        <f t="shared" si="5"/>
        <v>4.666666666889796E-2</v>
      </c>
    </row>
    <row r="135" spans="1:8" x14ac:dyDescent="0.45">
      <c r="A135" s="3" t="s">
        <v>549</v>
      </c>
      <c r="B135" s="3" t="s">
        <v>816</v>
      </c>
      <c r="C135" s="10">
        <v>45666.809155092589</v>
      </c>
      <c r="D135" s="3" t="s">
        <v>547</v>
      </c>
      <c r="E135" s="10">
        <v>45666.823553240742</v>
      </c>
      <c r="F135" s="10">
        <v>45666.855821759258</v>
      </c>
      <c r="G135" s="11">
        <f t="shared" si="4"/>
        <v>1.4398148152395152E-2</v>
      </c>
      <c r="H135" s="11">
        <f t="shared" si="5"/>
        <v>4.666666666889796E-2</v>
      </c>
    </row>
    <row r="136" spans="1:8" x14ac:dyDescent="0.45">
      <c r="A136" s="3" t="s">
        <v>551</v>
      </c>
      <c r="B136" s="3" t="s">
        <v>817</v>
      </c>
      <c r="C136" s="10">
        <v>45666.810682870368</v>
      </c>
      <c r="D136" s="3" t="s">
        <v>552</v>
      </c>
      <c r="E136" s="10">
        <v>45667.568645833337</v>
      </c>
      <c r="F136" s="10">
        <v>45667.606608796297</v>
      </c>
      <c r="G136" s="11">
        <f t="shared" si="4"/>
        <v>0.75796296296903165</v>
      </c>
      <c r="H136" s="11">
        <f t="shared" si="5"/>
        <v>0.79592592592962319</v>
      </c>
    </row>
    <row r="137" spans="1:8" x14ac:dyDescent="0.45">
      <c r="A137" s="3" t="s">
        <v>554</v>
      </c>
      <c r="B137" s="3" t="s">
        <v>817</v>
      </c>
      <c r="C137" s="10">
        <v>45666.810682870368</v>
      </c>
      <c r="D137" s="3" t="s">
        <v>552</v>
      </c>
      <c r="E137" s="10">
        <v>45667.568645833337</v>
      </c>
      <c r="F137" s="10">
        <v>45667.606608796297</v>
      </c>
      <c r="G137" s="11">
        <f t="shared" si="4"/>
        <v>0.75796296296903165</v>
      </c>
      <c r="H137" s="11">
        <f t="shared" si="5"/>
        <v>0.79592592592962319</v>
      </c>
    </row>
    <row r="138" spans="1:8" x14ac:dyDescent="0.45">
      <c r="A138" s="3" t="s">
        <v>556</v>
      </c>
      <c r="B138" s="3" t="s">
        <v>816</v>
      </c>
      <c r="C138" s="10">
        <v>45666.811678240738</v>
      </c>
      <c r="D138" s="3" t="s">
        <v>547</v>
      </c>
      <c r="E138" s="10">
        <v>45666.823553240742</v>
      </c>
      <c r="F138" s="10">
        <v>45666.855821759258</v>
      </c>
      <c r="G138" s="11">
        <f t="shared" si="4"/>
        <v>1.1875000003783498E-2</v>
      </c>
      <c r="H138" s="11">
        <f t="shared" si="5"/>
        <v>4.4143518520286307E-2</v>
      </c>
    </row>
    <row r="139" spans="1:8" x14ac:dyDescent="0.45">
      <c r="A139" s="3" t="s">
        <v>558</v>
      </c>
      <c r="B139" s="3" t="s">
        <v>815</v>
      </c>
      <c r="C139" s="10">
        <v>45666.946840277778</v>
      </c>
      <c r="D139" s="3" t="s">
        <v>522</v>
      </c>
      <c r="E139" s="10">
        <v>45666.957453703697</v>
      </c>
      <c r="F139" s="10">
        <v>45666.992696759262</v>
      </c>
      <c r="G139" s="11">
        <f t="shared" si="4"/>
        <v>1.0613425918563735E-2</v>
      </c>
      <c r="H139" s="11">
        <f t="shared" si="5"/>
        <v>4.5856481483497191E-2</v>
      </c>
    </row>
    <row r="140" spans="1:8" x14ac:dyDescent="0.45">
      <c r="A140" s="3" t="s">
        <v>560</v>
      </c>
      <c r="B140" s="3" t="s">
        <v>815</v>
      </c>
      <c r="C140" s="10">
        <v>45666.946840277778</v>
      </c>
      <c r="D140" s="3" t="s">
        <v>522</v>
      </c>
      <c r="E140" s="10">
        <v>45666.957453703697</v>
      </c>
      <c r="F140" s="10">
        <v>45666.992696759262</v>
      </c>
      <c r="G140" s="11">
        <f t="shared" si="4"/>
        <v>1.0613425918563735E-2</v>
      </c>
      <c r="H140" s="11">
        <f t="shared" si="5"/>
        <v>4.5856481483497191E-2</v>
      </c>
    </row>
    <row r="141" spans="1:8" x14ac:dyDescent="0.45">
      <c r="A141" s="3" t="s">
        <v>562</v>
      </c>
      <c r="B141" s="3" t="s">
        <v>815</v>
      </c>
      <c r="C141" s="10">
        <v>45666.946840277778</v>
      </c>
      <c r="D141" s="3" t="s">
        <v>522</v>
      </c>
      <c r="E141" s="10">
        <v>45666.957453703697</v>
      </c>
      <c r="F141" s="10">
        <v>45666.992696759262</v>
      </c>
      <c r="G141" s="11">
        <f t="shared" si="4"/>
        <v>1.0613425918563735E-2</v>
      </c>
      <c r="H141" s="11">
        <f t="shared" si="5"/>
        <v>4.5856481483497191E-2</v>
      </c>
    </row>
    <row r="142" spans="1:8" x14ac:dyDescent="0.45">
      <c r="A142" s="3" t="s">
        <v>564</v>
      </c>
      <c r="B142" s="3" t="s">
        <v>815</v>
      </c>
      <c r="C142" s="10">
        <v>45666.946840277778</v>
      </c>
      <c r="D142" s="3" t="s">
        <v>522</v>
      </c>
      <c r="E142" s="10">
        <v>45666.957453703697</v>
      </c>
      <c r="F142" s="10">
        <v>45666.992696759262</v>
      </c>
      <c r="G142" s="11">
        <f t="shared" si="4"/>
        <v>1.0613425918563735E-2</v>
      </c>
      <c r="H142" s="11">
        <f t="shared" si="5"/>
        <v>4.5856481483497191E-2</v>
      </c>
    </row>
    <row r="143" spans="1:8" x14ac:dyDescent="0.45">
      <c r="A143" s="3" t="s">
        <v>566</v>
      </c>
      <c r="B143" s="3" t="s">
        <v>813</v>
      </c>
      <c r="C143" s="10">
        <v>45667.303877314807</v>
      </c>
      <c r="D143" s="3" t="s">
        <v>567</v>
      </c>
      <c r="E143" s="10">
        <v>45667.399212962962</v>
      </c>
      <c r="F143" s="10">
        <v>45667.425868055558</v>
      </c>
      <c r="G143" s="11">
        <f t="shared" si="4"/>
        <v>9.5335648155014496E-2</v>
      </c>
      <c r="H143" s="11">
        <f t="shared" si="5"/>
        <v>0.12199074075033423</v>
      </c>
    </row>
    <row r="144" spans="1:8" x14ac:dyDescent="0.45">
      <c r="A144" s="3" t="s">
        <v>569</v>
      </c>
      <c r="B144" s="3" t="s">
        <v>816</v>
      </c>
      <c r="C144" s="10">
        <v>45667.304814814823</v>
      </c>
      <c r="D144" s="3" t="s">
        <v>570</v>
      </c>
      <c r="E144" s="10">
        <v>45667.645694444444</v>
      </c>
      <c r="F144" s="10">
        <v>45667.66951388889</v>
      </c>
      <c r="G144" s="11">
        <f t="shared" si="4"/>
        <v>0.34087962962075835</v>
      </c>
      <c r="H144" s="11">
        <f t="shared" si="5"/>
        <v>0.36469907406717539</v>
      </c>
    </row>
    <row r="145" spans="1:8" x14ac:dyDescent="0.45">
      <c r="A145" s="3" t="s">
        <v>572</v>
      </c>
      <c r="B145" s="3" t="s">
        <v>820</v>
      </c>
      <c r="C145" s="10">
        <v>45667.306006944447</v>
      </c>
      <c r="D145" s="3" t="s">
        <v>478</v>
      </c>
      <c r="E145" s="10">
        <v>45667.703483796293</v>
      </c>
      <c r="F145" s="10">
        <v>45667.732928240737</v>
      </c>
      <c r="G145" s="11">
        <f t="shared" si="4"/>
        <v>0.39747685184556758</v>
      </c>
      <c r="H145" s="11">
        <f t="shared" si="5"/>
        <v>0.42692129628994735</v>
      </c>
    </row>
    <row r="146" spans="1:8" x14ac:dyDescent="0.45">
      <c r="A146" s="3" t="s">
        <v>574</v>
      </c>
      <c r="B146" s="3" t="s">
        <v>813</v>
      </c>
      <c r="C146" s="10">
        <v>45667.306875000002</v>
      </c>
      <c r="D146" s="3" t="s">
        <v>567</v>
      </c>
      <c r="E146" s="10">
        <v>45667.399212962962</v>
      </c>
      <c r="F146" s="10">
        <v>45667.425868055558</v>
      </c>
      <c r="G146" s="11">
        <f t="shared" si="4"/>
        <v>9.2337962960300501E-2</v>
      </c>
      <c r="H146" s="11">
        <f t="shared" si="5"/>
        <v>0.11899305555562023</v>
      </c>
    </row>
    <row r="147" spans="1:8" x14ac:dyDescent="0.45">
      <c r="A147" s="3" t="s">
        <v>576</v>
      </c>
      <c r="B147" s="3" t="s">
        <v>815</v>
      </c>
      <c r="C147" s="10">
        <v>45667.326840277783</v>
      </c>
      <c r="D147" s="3" t="s">
        <v>577</v>
      </c>
      <c r="E147" s="10">
        <v>45667.573414351849</v>
      </c>
      <c r="F147" s="10">
        <v>45667.625972222217</v>
      </c>
      <c r="G147" s="11">
        <f t="shared" si="4"/>
        <v>0.24657407406630227</v>
      </c>
      <c r="H147" s="11">
        <f t="shared" si="5"/>
        <v>0.29913194443361135</v>
      </c>
    </row>
    <row r="148" spans="1:8" x14ac:dyDescent="0.45">
      <c r="A148" s="3" t="s">
        <v>579</v>
      </c>
      <c r="B148" s="3" t="s">
        <v>819</v>
      </c>
      <c r="C148" s="10">
        <v>45667.328067129631</v>
      </c>
      <c r="D148" s="3" t="s">
        <v>580</v>
      </c>
      <c r="E148" s="10">
        <v>45667.566377314812</v>
      </c>
      <c r="F148" s="10">
        <v>45667.593518518523</v>
      </c>
      <c r="G148" s="11">
        <f t="shared" si="4"/>
        <v>0.23831018518103519</v>
      </c>
      <c r="H148" s="11">
        <f t="shared" si="5"/>
        <v>0.26545138889196096</v>
      </c>
    </row>
    <row r="149" spans="1:8" x14ac:dyDescent="0.45">
      <c r="A149" s="3" t="s">
        <v>582</v>
      </c>
      <c r="B149" s="3" t="s">
        <v>814</v>
      </c>
      <c r="C149" s="10">
        <v>45667.329421296286</v>
      </c>
      <c r="D149" s="3" t="s">
        <v>351</v>
      </c>
      <c r="E149" s="10">
        <v>45667.337592592587</v>
      </c>
      <c r="F149" s="10">
        <v>45667.361377314817</v>
      </c>
      <c r="G149" s="11">
        <f t="shared" si="4"/>
        <v>8.1712963001336902E-3</v>
      </c>
      <c r="H149" s="11">
        <f t="shared" si="5"/>
        <v>3.1956018530763686E-2</v>
      </c>
    </row>
    <row r="150" spans="1:8" x14ac:dyDescent="0.45">
      <c r="A150" s="3" t="s">
        <v>584</v>
      </c>
      <c r="B150" s="3" t="s">
        <v>816</v>
      </c>
      <c r="C150" s="10">
        <v>45667.357557870368</v>
      </c>
      <c r="D150" s="3" t="s">
        <v>570</v>
      </c>
      <c r="E150" s="10">
        <v>45667.645694444444</v>
      </c>
      <c r="F150" s="10">
        <v>45667.66951388889</v>
      </c>
      <c r="G150" s="11">
        <f t="shared" si="4"/>
        <v>0.28813657407590654</v>
      </c>
      <c r="H150" s="11">
        <f t="shared" si="5"/>
        <v>0.31195601852232357</v>
      </c>
    </row>
    <row r="151" spans="1:8" x14ac:dyDescent="0.45">
      <c r="A151" s="3" t="s">
        <v>586</v>
      </c>
      <c r="B151" s="3" t="s">
        <v>819</v>
      </c>
      <c r="C151" s="10">
        <v>45667.358854166669</v>
      </c>
      <c r="D151" s="3" t="s">
        <v>580</v>
      </c>
      <c r="E151" s="10">
        <v>45667.566377314812</v>
      </c>
      <c r="F151" s="10">
        <v>45667.593518518523</v>
      </c>
      <c r="G151" s="11">
        <f t="shared" si="4"/>
        <v>0.20752314814308193</v>
      </c>
      <c r="H151" s="11">
        <f t="shared" si="5"/>
        <v>0.23466435185400769</v>
      </c>
    </row>
    <row r="152" spans="1:8" x14ac:dyDescent="0.45">
      <c r="A152" s="3" t="s">
        <v>588</v>
      </c>
      <c r="B152" s="3" t="s">
        <v>813</v>
      </c>
      <c r="C152" s="10">
        <v>45667.38857638889</v>
      </c>
      <c r="D152" s="3" t="s">
        <v>567</v>
      </c>
      <c r="E152" s="10">
        <v>45667.399212962962</v>
      </c>
      <c r="F152" s="10">
        <v>45667.425868055558</v>
      </c>
      <c r="G152" s="11">
        <f t="shared" si="4"/>
        <v>1.063657407212304E-2</v>
      </c>
      <c r="H152" s="11">
        <f t="shared" si="5"/>
        <v>3.7291666667442769E-2</v>
      </c>
    </row>
    <row r="153" spans="1:8" x14ac:dyDescent="0.45">
      <c r="A153" s="3" t="s">
        <v>590</v>
      </c>
      <c r="B153" s="3" t="s">
        <v>814</v>
      </c>
      <c r="C153" s="10">
        <v>45667.389976851853</v>
      </c>
      <c r="D153" s="3" t="s">
        <v>591</v>
      </c>
      <c r="E153" s="10">
        <v>45668.542905092603</v>
      </c>
      <c r="F153" s="10">
        <v>45668.5703587963</v>
      </c>
      <c r="G153" s="11">
        <f t="shared" si="4"/>
        <v>1.1529282407500432</v>
      </c>
      <c r="H153" s="11">
        <f t="shared" si="5"/>
        <v>1.1803819444467081</v>
      </c>
    </row>
    <row r="154" spans="1:8" x14ac:dyDescent="0.45">
      <c r="A154" s="3" t="s">
        <v>593</v>
      </c>
      <c r="B154" s="3" t="s">
        <v>818</v>
      </c>
      <c r="C154" s="10">
        <v>45667.391365740739</v>
      </c>
      <c r="D154" s="3" t="s">
        <v>594</v>
      </c>
      <c r="E154" s="10">
        <v>45667.568819444437</v>
      </c>
      <c r="F154" s="10">
        <v>45667.615057870367</v>
      </c>
      <c r="G154" s="11">
        <f t="shared" si="4"/>
        <v>0.17745370369812008</v>
      </c>
      <c r="H154" s="11">
        <f t="shared" si="5"/>
        <v>0.22369212962803431</v>
      </c>
    </row>
    <row r="155" spans="1:8" x14ac:dyDescent="0.45">
      <c r="A155" s="3" t="s">
        <v>596</v>
      </c>
      <c r="B155" s="3" t="s">
        <v>813</v>
      </c>
      <c r="C155" s="10">
        <v>45667.554062499999</v>
      </c>
      <c r="D155" s="3" t="s">
        <v>597</v>
      </c>
      <c r="E155" s="10">
        <v>45667.563078703701</v>
      </c>
      <c r="F155" s="10">
        <v>45667.591053240743</v>
      </c>
      <c r="G155" s="11">
        <f t="shared" si="4"/>
        <v>9.0162037013215013E-3</v>
      </c>
      <c r="H155" s="11">
        <f t="shared" si="5"/>
        <v>3.6990740743931383E-2</v>
      </c>
    </row>
    <row r="156" spans="1:8" x14ac:dyDescent="0.45">
      <c r="A156" s="3" t="s">
        <v>599</v>
      </c>
      <c r="B156" s="3" t="s">
        <v>813</v>
      </c>
      <c r="C156" s="10">
        <v>45667.554062499999</v>
      </c>
      <c r="D156" s="3" t="s">
        <v>597</v>
      </c>
      <c r="E156" s="10">
        <v>45667.563078703701</v>
      </c>
      <c r="F156" s="10">
        <v>45667.591053240743</v>
      </c>
      <c r="G156" s="11">
        <f t="shared" si="4"/>
        <v>9.0162037013215013E-3</v>
      </c>
      <c r="H156" s="11">
        <f t="shared" si="5"/>
        <v>3.6990740743931383E-2</v>
      </c>
    </row>
    <row r="157" spans="1:8" x14ac:dyDescent="0.45">
      <c r="A157" s="3" t="s">
        <v>601</v>
      </c>
      <c r="B157" s="3" t="s">
        <v>813</v>
      </c>
      <c r="C157" s="10">
        <v>45667.554062499999</v>
      </c>
      <c r="D157" s="3" t="s">
        <v>597</v>
      </c>
      <c r="E157" s="10">
        <v>45667.563078703701</v>
      </c>
      <c r="F157" s="10">
        <v>45667.591053240743</v>
      </c>
      <c r="G157" s="11">
        <f t="shared" si="4"/>
        <v>9.0162037013215013E-3</v>
      </c>
      <c r="H157" s="11">
        <f t="shared" si="5"/>
        <v>3.6990740743931383E-2</v>
      </c>
    </row>
    <row r="158" spans="1:8" x14ac:dyDescent="0.45">
      <c r="A158" s="3" t="s">
        <v>603</v>
      </c>
      <c r="B158" s="3" t="s">
        <v>817</v>
      </c>
      <c r="C158" s="10">
        <v>45667.555555555547</v>
      </c>
      <c r="D158" s="3" t="s">
        <v>552</v>
      </c>
      <c r="E158" s="10">
        <v>45667.568645833337</v>
      </c>
      <c r="F158" s="10">
        <v>45667.606608796297</v>
      </c>
      <c r="G158" s="11">
        <f t="shared" si="4"/>
        <v>1.3090277789160609E-2</v>
      </c>
      <c r="H158" s="11">
        <f t="shared" si="5"/>
        <v>5.1053240749752149E-2</v>
      </c>
    </row>
    <row r="159" spans="1:8" x14ac:dyDescent="0.45">
      <c r="A159" s="3" t="s">
        <v>605</v>
      </c>
      <c r="B159" s="3" t="s">
        <v>821</v>
      </c>
      <c r="C159" s="10">
        <v>45667.556655092587</v>
      </c>
      <c r="D159" s="3" t="s">
        <v>606</v>
      </c>
      <c r="E159" s="10">
        <v>45667.704699074071</v>
      </c>
      <c r="F159" s="10">
        <v>45667.737962962958</v>
      </c>
      <c r="G159" s="11">
        <f t="shared" si="4"/>
        <v>0.14804398148407927</v>
      </c>
      <c r="H159" s="11">
        <f t="shared" si="5"/>
        <v>0.18130787037080154</v>
      </c>
    </row>
    <row r="160" spans="1:8" x14ac:dyDescent="0.45">
      <c r="A160" s="3" t="s">
        <v>608</v>
      </c>
      <c r="B160" s="3" t="s">
        <v>818</v>
      </c>
      <c r="C160" s="10">
        <v>45667.55877314815</v>
      </c>
      <c r="D160" s="3" t="s">
        <v>594</v>
      </c>
      <c r="E160" s="10">
        <v>45667.568819444437</v>
      </c>
      <c r="F160" s="10">
        <v>45667.615057870367</v>
      </c>
      <c r="G160" s="11">
        <f t="shared" si="4"/>
        <v>1.0046296287328005E-2</v>
      </c>
      <c r="H160" s="11">
        <f t="shared" si="5"/>
        <v>5.6284722217242233E-2</v>
      </c>
    </row>
    <row r="161" spans="1:8" x14ac:dyDescent="0.45">
      <c r="A161" s="3" t="s">
        <v>610</v>
      </c>
      <c r="B161" s="3" t="s">
        <v>819</v>
      </c>
      <c r="C161" s="10">
        <v>45667.559988425928</v>
      </c>
      <c r="D161" s="3" t="s">
        <v>580</v>
      </c>
      <c r="E161" s="10">
        <v>45667.566377314812</v>
      </c>
      <c r="F161" s="10">
        <v>45667.593518518523</v>
      </c>
      <c r="G161" s="11">
        <f t="shared" si="4"/>
        <v>6.388888883520849E-3</v>
      </c>
      <c r="H161" s="11">
        <f t="shared" si="5"/>
        <v>3.3530092594446614E-2</v>
      </c>
    </row>
    <row r="162" spans="1:8" x14ac:dyDescent="0.45">
      <c r="A162" s="3" t="s">
        <v>612</v>
      </c>
      <c r="B162" s="3" t="s">
        <v>818</v>
      </c>
      <c r="C162" s="10">
        <v>45667.561377314807</v>
      </c>
      <c r="D162" s="3" t="s">
        <v>594</v>
      </c>
      <c r="E162" s="10">
        <v>45667.568819444437</v>
      </c>
      <c r="F162" s="10">
        <v>45667.615057870367</v>
      </c>
      <c r="G162" s="11">
        <f t="shared" si="4"/>
        <v>7.442129630362615E-3</v>
      </c>
      <c r="H162" s="11">
        <f t="shared" si="5"/>
        <v>5.3680555560276844E-2</v>
      </c>
    </row>
    <row r="163" spans="1:8" x14ac:dyDescent="0.45">
      <c r="A163" s="3" t="s">
        <v>614</v>
      </c>
      <c r="B163" s="3" t="s">
        <v>815</v>
      </c>
      <c r="C163" s="10">
        <v>45667.5627662037</v>
      </c>
      <c r="D163" s="3" t="s">
        <v>577</v>
      </c>
      <c r="E163" s="10">
        <v>45667.573414351849</v>
      </c>
      <c r="F163" s="10">
        <v>45667.625972222217</v>
      </c>
      <c r="G163" s="11">
        <f t="shared" si="4"/>
        <v>1.0648148148902692E-2</v>
      </c>
      <c r="H163" s="11">
        <f t="shared" si="5"/>
        <v>6.320601851621177E-2</v>
      </c>
    </row>
    <row r="164" spans="1:8" x14ac:dyDescent="0.45">
      <c r="A164" s="3" t="s">
        <v>616</v>
      </c>
      <c r="B164" s="3" t="s">
        <v>815</v>
      </c>
      <c r="C164" s="10">
        <v>45667.5627662037</v>
      </c>
      <c r="D164" s="3" t="s">
        <v>577</v>
      </c>
      <c r="E164" s="10">
        <v>45667.573414351849</v>
      </c>
      <c r="F164" s="10">
        <v>45667.625972222217</v>
      </c>
      <c r="G164" s="11">
        <f t="shared" si="4"/>
        <v>1.0648148148902692E-2</v>
      </c>
      <c r="H164" s="11">
        <f t="shared" si="5"/>
        <v>6.320601851621177E-2</v>
      </c>
    </row>
    <row r="165" spans="1:8" x14ac:dyDescent="0.45">
      <c r="A165" s="3" t="s">
        <v>618</v>
      </c>
      <c r="B165" s="3" t="s">
        <v>813</v>
      </c>
      <c r="C165" s="10">
        <v>45667.637314814812</v>
      </c>
      <c r="D165" s="3" t="s">
        <v>619</v>
      </c>
      <c r="E165" s="10">
        <v>45668.276932870373</v>
      </c>
      <c r="F165" s="10">
        <v>45668.297962962963</v>
      </c>
      <c r="G165" s="11">
        <f t="shared" si="4"/>
        <v>0.63961805556027684</v>
      </c>
      <c r="H165" s="11">
        <f t="shared" si="5"/>
        <v>0.66064814815035788</v>
      </c>
    </row>
    <row r="166" spans="1:8" x14ac:dyDescent="0.45">
      <c r="A166" s="3" t="s">
        <v>621</v>
      </c>
      <c r="B166" s="3" t="s">
        <v>816</v>
      </c>
      <c r="C166" s="10">
        <v>45667.638252314813</v>
      </c>
      <c r="D166" s="3" t="s">
        <v>570</v>
      </c>
      <c r="E166" s="10">
        <v>45667.645694444444</v>
      </c>
      <c r="F166" s="10">
        <v>45667.66951388889</v>
      </c>
      <c r="G166" s="11">
        <f t="shared" si="4"/>
        <v>7.442129630362615E-3</v>
      </c>
      <c r="H166" s="11">
        <f t="shared" si="5"/>
        <v>3.1261574076779652E-2</v>
      </c>
    </row>
    <row r="167" spans="1:8" x14ac:dyDescent="0.45">
      <c r="A167" s="3" t="s">
        <v>623</v>
      </c>
      <c r="B167" s="3" t="s">
        <v>817</v>
      </c>
      <c r="C167" s="10">
        <v>45667.639884259261</v>
      </c>
      <c r="D167" s="3" t="s">
        <v>624</v>
      </c>
      <c r="E167" s="10">
        <v>45667.652627314812</v>
      </c>
      <c r="F167" s="10">
        <v>45667.676493055558</v>
      </c>
      <c r="G167" s="11">
        <f t="shared" si="4"/>
        <v>1.2743055551254656E-2</v>
      </c>
      <c r="H167" s="11">
        <f t="shared" si="5"/>
        <v>3.6608796297514345E-2</v>
      </c>
    </row>
    <row r="168" spans="1:8" x14ac:dyDescent="0.45">
      <c r="A168" s="3" t="s">
        <v>626</v>
      </c>
      <c r="B168" s="3" t="s">
        <v>817</v>
      </c>
      <c r="C168" s="10">
        <v>45667.639884259261</v>
      </c>
      <c r="D168" s="3" t="s">
        <v>624</v>
      </c>
      <c r="E168" s="10">
        <v>45667.652627314812</v>
      </c>
      <c r="F168" s="10">
        <v>45667.676493055558</v>
      </c>
      <c r="G168" s="11">
        <f t="shared" si="4"/>
        <v>1.2743055551254656E-2</v>
      </c>
      <c r="H168" s="11">
        <f t="shared" si="5"/>
        <v>3.6608796297514345E-2</v>
      </c>
    </row>
    <row r="169" spans="1:8" x14ac:dyDescent="0.45">
      <c r="A169" s="3" t="s">
        <v>628</v>
      </c>
      <c r="B169" s="3" t="s">
        <v>815</v>
      </c>
      <c r="C169" s="10">
        <v>45667.662719907406</v>
      </c>
      <c r="D169" s="3" t="s">
        <v>629</v>
      </c>
      <c r="E169" s="10">
        <v>45667.676944444444</v>
      </c>
      <c r="F169" s="10">
        <v>45667.706550925926</v>
      </c>
      <c r="G169" s="11">
        <f t="shared" si="4"/>
        <v>1.4224537037080154E-2</v>
      </c>
      <c r="H169" s="11">
        <f t="shared" si="5"/>
        <v>4.3831018519995268E-2</v>
      </c>
    </row>
    <row r="170" spans="1:8" x14ac:dyDescent="0.45">
      <c r="A170" s="3" t="s">
        <v>631</v>
      </c>
      <c r="B170" s="3" t="s">
        <v>815</v>
      </c>
      <c r="C170" s="10">
        <v>45667.662719907406</v>
      </c>
      <c r="D170" s="3" t="s">
        <v>629</v>
      </c>
      <c r="E170" s="10">
        <v>45667.676944444444</v>
      </c>
      <c r="F170" s="10">
        <v>45667.706550925926</v>
      </c>
      <c r="G170" s="11">
        <f t="shared" si="4"/>
        <v>1.4224537037080154E-2</v>
      </c>
      <c r="H170" s="11">
        <f t="shared" si="5"/>
        <v>4.3831018519995268E-2</v>
      </c>
    </row>
    <row r="171" spans="1:8" x14ac:dyDescent="0.45">
      <c r="A171" s="3" t="s">
        <v>633</v>
      </c>
      <c r="B171" s="3" t="s">
        <v>815</v>
      </c>
      <c r="C171" s="10">
        <v>45667.662719907406</v>
      </c>
      <c r="D171" s="3" t="s">
        <v>629</v>
      </c>
      <c r="E171" s="10">
        <v>45667.676944444444</v>
      </c>
      <c r="F171" s="10">
        <v>45667.706550925926</v>
      </c>
      <c r="G171" s="11">
        <f t="shared" si="4"/>
        <v>1.4224537037080154E-2</v>
      </c>
      <c r="H171" s="11">
        <f t="shared" si="5"/>
        <v>4.3831018519995268E-2</v>
      </c>
    </row>
    <row r="172" spans="1:8" x14ac:dyDescent="0.45">
      <c r="A172" s="3" t="s">
        <v>635</v>
      </c>
      <c r="B172" s="3" t="s">
        <v>821</v>
      </c>
      <c r="C172" s="10">
        <v>45667.689074074071</v>
      </c>
      <c r="D172" s="3" t="s">
        <v>606</v>
      </c>
      <c r="E172" s="10">
        <v>45667.704699074071</v>
      </c>
      <c r="F172" s="10">
        <v>45667.737962962958</v>
      </c>
      <c r="G172" s="11">
        <f t="shared" si="4"/>
        <v>1.5625E-2</v>
      </c>
      <c r="H172" s="11">
        <f t="shared" si="5"/>
        <v>4.888888888672227E-2</v>
      </c>
    </row>
    <row r="173" spans="1:8" x14ac:dyDescent="0.45">
      <c r="A173" s="3" t="s">
        <v>637</v>
      </c>
      <c r="B173" s="3" t="s">
        <v>820</v>
      </c>
      <c r="C173" s="10">
        <v>45667.690393518518</v>
      </c>
      <c r="D173" s="3" t="s">
        <v>478</v>
      </c>
      <c r="E173" s="10">
        <v>45667.703483796293</v>
      </c>
      <c r="F173" s="10">
        <v>45667.732928240737</v>
      </c>
      <c r="G173" s="11">
        <f t="shared" si="4"/>
        <v>1.3090277774608694E-2</v>
      </c>
      <c r="H173" s="11">
        <f t="shared" si="5"/>
        <v>4.2534722218988463E-2</v>
      </c>
    </row>
    <row r="174" spans="1:8" x14ac:dyDescent="0.45">
      <c r="A174" s="3" t="s">
        <v>639</v>
      </c>
      <c r="B174" s="3" t="s">
        <v>821</v>
      </c>
      <c r="C174" s="10">
        <v>45667.691620370373</v>
      </c>
      <c r="D174" s="3" t="s">
        <v>606</v>
      </c>
      <c r="E174" s="10">
        <v>45667.704699074071</v>
      </c>
      <c r="F174" s="10">
        <v>45667.737962962958</v>
      </c>
      <c r="G174" s="11">
        <f t="shared" si="4"/>
        <v>1.3078703697829042E-2</v>
      </c>
      <c r="H174" s="11">
        <f t="shared" si="5"/>
        <v>4.6342592584551312E-2</v>
      </c>
    </row>
    <row r="175" spans="1:8" x14ac:dyDescent="0.45">
      <c r="A175" s="3" t="s">
        <v>641</v>
      </c>
      <c r="B175" s="3" t="s">
        <v>816</v>
      </c>
      <c r="C175" s="10">
        <v>45667.713969907411</v>
      </c>
      <c r="D175" s="3" t="s">
        <v>642</v>
      </c>
      <c r="E175" s="10">
        <v>45668.515185185177</v>
      </c>
      <c r="F175" s="10">
        <v>45668.538958333331</v>
      </c>
      <c r="G175" s="11">
        <f t="shared" si="4"/>
        <v>0.80121527776645962</v>
      </c>
      <c r="H175" s="11">
        <f t="shared" si="5"/>
        <v>0.82498842592030996</v>
      </c>
    </row>
    <row r="176" spans="1:8" x14ac:dyDescent="0.45">
      <c r="A176" s="3" t="s">
        <v>644</v>
      </c>
      <c r="B176" s="3" t="s">
        <v>813</v>
      </c>
      <c r="C176" s="10">
        <v>45667.714791666673</v>
      </c>
      <c r="D176" s="3" t="s">
        <v>619</v>
      </c>
      <c r="E176" s="10">
        <v>45668.276932870373</v>
      </c>
      <c r="F176" s="10">
        <v>45668.297962962963</v>
      </c>
      <c r="G176" s="11">
        <f t="shared" si="4"/>
        <v>0.56214120369986631</v>
      </c>
      <c r="H176" s="11">
        <f t="shared" si="5"/>
        <v>0.58317129628994735</v>
      </c>
    </row>
    <row r="177" spans="1:8" x14ac:dyDescent="0.45">
      <c r="A177" s="3" t="s">
        <v>646</v>
      </c>
      <c r="B177" s="3" t="s">
        <v>816</v>
      </c>
      <c r="C177" s="10">
        <v>45667.715729166674</v>
      </c>
      <c r="D177" s="3" t="s">
        <v>642</v>
      </c>
      <c r="E177" s="10">
        <v>45668.515185185177</v>
      </c>
      <c r="F177" s="10">
        <v>45668.538958333331</v>
      </c>
      <c r="G177" s="11">
        <f t="shared" si="4"/>
        <v>0.79945601850340609</v>
      </c>
      <c r="H177" s="11">
        <f t="shared" si="5"/>
        <v>0.82322916665725643</v>
      </c>
    </row>
    <row r="178" spans="1:8" x14ac:dyDescent="0.45">
      <c r="A178" s="3" t="s">
        <v>648</v>
      </c>
      <c r="B178" s="3" t="s">
        <v>817</v>
      </c>
      <c r="C178" s="10">
        <v>45667.842523148152</v>
      </c>
      <c r="D178" s="3" t="s">
        <v>649</v>
      </c>
      <c r="E178" s="10">
        <v>45668.318692129629</v>
      </c>
      <c r="F178" s="10">
        <v>45668.349340277768</v>
      </c>
      <c r="G178" s="11">
        <f t="shared" si="4"/>
        <v>0.47616898147680331</v>
      </c>
      <c r="H178" s="11">
        <f t="shared" si="5"/>
        <v>0.50681712961522862</v>
      </c>
    </row>
    <row r="179" spans="1:8" x14ac:dyDescent="0.45">
      <c r="A179" s="3" t="s">
        <v>651</v>
      </c>
      <c r="B179" s="3" t="s">
        <v>817</v>
      </c>
      <c r="C179" s="10">
        <v>45667.842523148152</v>
      </c>
      <c r="D179" s="3" t="s">
        <v>649</v>
      </c>
      <c r="E179" s="10">
        <v>45668.318692129629</v>
      </c>
      <c r="F179" s="10">
        <v>45668.349340277768</v>
      </c>
      <c r="G179" s="11">
        <f t="shared" si="4"/>
        <v>0.47616898147680331</v>
      </c>
      <c r="H179" s="11">
        <f t="shared" si="5"/>
        <v>0.50681712961522862</v>
      </c>
    </row>
    <row r="180" spans="1:8" x14ac:dyDescent="0.45">
      <c r="A180" s="3" t="s">
        <v>653</v>
      </c>
      <c r="B180" s="3" t="s">
        <v>815</v>
      </c>
      <c r="C180" s="10">
        <v>45667.843761574077</v>
      </c>
      <c r="D180" s="3" t="s">
        <v>654</v>
      </c>
      <c r="E180" s="10">
        <v>45668.533854166657</v>
      </c>
      <c r="F180" s="10">
        <v>45668.564328703702</v>
      </c>
      <c r="G180" s="11">
        <f t="shared" si="4"/>
        <v>0.69009259258018574</v>
      </c>
      <c r="H180" s="11">
        <f t="shared" si="5"/>
        <v>0.72056712962512393</v>
      </c>
    </row>
    <row r="181" spans="1:8" x14ac:dyDescent="0.45">
      <c r="A181" s="3" t="s">
        <v>656</v>
      </c>
      <c r="B181" s="3" t="s">
        <v>819</v>
      </c>
      <c r="C181" s="10">
        <v>45667.94667824074</v>
      </c>
      <c r="D181" s="3" t="s">
        <v>657</v>
      </c>
      <c r="E181" s="10">
        <v>45668.307291666657</v>
      </c>
      <c r="F181" s="10">
        <v>45668.33965277778</v>
      </c>
      <c r="G181" s="11">
        <f t="shared" si="4"/>
        <v>0.36061342591710854</v>
      </c>
      <c r="H181" s="11">
        <f t="shared" si="5"/>
        <v>0.39297453704057261</v>
      </c>
    </row>
    <row r="182" spans="1:8" x14ac:dyDescent="0.45">
      <c r="A182" s="3" t="s">
        <v>659</v>
      </c>
      <c r="B182" s="3" t="s">
        <v>818</v>
      </c>
      <c r="C182" s="10">
        <v>45667.94803240741</v>
      </c>
      <c r="D182" s="3" t="s">
        <v>660</v>
      </c>
      <c r="E182" s="10">
        <v>45668.272581018522</v>
      </c>
      <c r="F182" s="10">
        <v>45668.299293981479</v>
      </c>
      <c r="G182" s="11">
        <f t="shared" si="4"/>
        <v>0.32454861111182254</v>
      </c>
      <c r="H182" s="11">
        <f t="shared" si="5"/>
        <v>0.35126157406921266</v>
      </c>
    </row>
    <row r="183" spans="1:8" x14ac:dyDescent="0.45">
      <c r="A183" s="3" t="s">
        <v>662</v>
      </c>
      <c r="B183" s="3" t="s">
        <v>819</v>
      </c>
      <c r="C183" s="10">
        <v>45667.949247685188</v>
      </c>
      <c r="D183" s="3" t="s">
        <v>657</v>
      </c>
      <c r="E183" s="10">
        <v>45668.307291666657</v>
      </c>
      <c r="F183" s="10">
        <v>45668.33965277778</v>
      </c>
      <c r="G183" s="11">
        <f t="shared" si="4"/>
        <v>0.35804398146865424</v>
      </c>
      <c r="H183" s="11">
        <f t="shared" si="5"/>
        <v>0.39040509259211831</v>
      </c>
    </row>
    <row r="184" spans="1:8" x14ac:dyDescent="0.45">
      <c r="A184" s="3" t="s">
        <v>664</v>
      </c>
      <c r="B184" s="3" t="s">
        <v>818</v>
      </c>
      <c r="C184" s="10">
        <v>45668.258634259262</v>
      </c>
      <c r="D184" s="3" t="s">
        <v>660</v>
      </c>
      <c r="E184" s="10">
        <v>45668.272581018522</v>
      </c>
      <c r="F184" s="10">
        <v>45668.299293981479</v>
      </c>
      <c r="G184" s="11">
        <f t="shared" si="4"/>
        <v>1.3946759259852115E-2</v>
      </c>
      <c r="H184" s="11">
        <f t="shared" si="5"/>
        <v>4.0659722217242233E-2</v>
      </c>
    </row>
    <row r="185" spans="1:8" x14ac:dyDescent="0.45">
      <c r="A185" s="3" t="s">
        <v>666</v>
      </c>
      <c r="B185" s="3" t="s">
        <v>818</v>
      </c>
      <c r="C185" s="10">
        <v>45668.258634259262</v>
      </c>
      <c r="D185" s="3" t="s">
        <v>660</v>
      </c>
      <c r="E185" s="10">
        <v>45668.272581018522</v>
      </c>
      <c r="F185" s="10">
        <v>45668.299293981479</v>
      </c>
      <c r="G185" s="11">
        <f t="shared" si="4"/>
        <v>1.3946759259852115E-2</v>
      </c>
      <c r="H185" s="11">
        <f t="shared" si="5"/>
        <v>4.0659722217242233E-2</v>
      </c>
    </row>
    <row r="186" spans="1:8" x14ac:dyDescent="0.45">
      <c r="A186" s="3" t="s">
        <v>668</v>
      </c>
      <c r="B186" s="3" t="s">
        <v>813</v>
      </c>
      <c r="C186" s="10">
        <v>45668.268750000003</v>
      </c>
      <c r="D186" s="3" t="s">
        <v>619</v>
      </c>
      <c r="E186" s="10">
        <v>45668.276932870373</v>
      </c>
      <c r="F186" s="10">
        <v>45668.297962962963</v>
      </c>
      <c r="G186" s="11">
        <f t="shared" si="4"/>
        <v>8.182870369637385E-3</v>
      </c>
      <c r="H186" s="11">
        <f t="shared" si="5"/>
        <v>2.9212962959718425E-2</v>
      </c>
    </row>
    <row r="187" spans="1:8" x14ac:dyDescent="0.45">
      <c r="A187" s="3" t="s">
        <v>670</v>
      </c>
      <c r="B187" s="3" t="s">
        <v>820</v>
      </c>
      <c r="C187" s="10">
        <v>45668.269953703697</v>
      </c>
      <c r="D187" s="3" t="s">
        <v>671</v>
      </c>
      <c r="E187" s="10">
        <v>45668.902407407397</v>
      </c>
      <c r="F187" s="10">
        <v>45668.948819444442</v>
      </c>
      <c r="G187" s="11">
        <f t="shared" si="4"/>
        <v>0.63245370369986631</v>
      </c>
      <c r="H187" s="11">
        <f t="shared" si="5"/>
        <v>0.67886574074509554</v>
      </c>
    </row>
    <row r="188" spans="1:8" x14ac:dyDescent="0.45">
      <c r="A188" s="3" t="s">
        <v>673</v>
      </c>
      <c r="B188" s="3" t="s">
        <v>821</v>
      </c>
      <c r="C188" s="10">
        <v>45668.271111111113</v>
      </c>
      <c r="D188" s="3" t="s">
        <v>674</v>
      </c>
      <c r="E188" s="10">
        <v>45668.294571759259</v>
      </c>
      <c r="F188" s="10">
        <v>45668.327766203707</v>
      </c>
      <c r="G188" s="11">
        <f t="shared" si="4"/>
        <v>2.3460648146283347E-2</v>
      </c>
      <c r="H188" s="11">
        <f t="shared" si="5"/>
        <v>5.6655092594155576E-2</v>
      </c>
    </row>
    <row r="189" spans="1:8" x14ac:dyDescent="0.45">
      <c r="A189" s="3" t="s">
        <v>676</v>
      </c>
      <c r="B189" s="3" t="s">
        <v>821</v>
      </c>
      <c r="C189" s="10">
        <v>45668.280243055553</v>
      </c>
      <c r="D189" s="3" t="s">
        <v>674</v>
      </c>
      <c r="E189" s="10">
        <v>45668.294571759259</v>
      </c>
      <c r="F189" s="10">
        <v>45668.327766203707</v>
      </c>
      <c r="G189" s="11">
        <f t="shared" si="4"/>
        <v>1.4328703706269152E-2</v>
      </c>
      <c r="H189" s="11">
        <f t="shared" si="5"/>
        <v>4.7523148154141381E-2</v>
      </c>
    </row>
    <row r="190" spans="1:8" x14ac:dyDescent="0.45">
      <c r="A190" s="3" t="s">
        <v>678</v>
      </c>
      <c r="B190" s="3" t="s">
        <v>821</v>
      </c>
      <c r="C190" s="10">
        <v>45668.280243055553</v>
      </c>
      <c r="D190" s="3" t="s">
        <v>674</v>
      </c>
      <c r="E190" s="10">
        <v>45668.294571759259</v>
      </c>
      <c r="F190" s="10">
        <v>45668.327766203707</v>
      </c>
      <c r="G190" s="11">
        <f t="shared" si="4"/>
        <v>1.4328703706269152E-2</v>
      </c>
      <c r="H190" s="11">
        <f t="shared" si="5"/>
        <v>4.7523148154141381E-2</v>
      </c>
    </row>
    <row r="191" spans="1:8" x14ac:dyDescent="0.45">
      <c r="A191" s="3" t="s">
        <v>680</v>
      </c>
      <c r="B191" s="3" t="s">
        <v>821</v>
      </c>
      <c r="C191" s="10">
        <v>45668.280243055553</v>
      </c>
      <c r="D191" s="3" t="s">
        <v>674</v>
      </c>
      <c r="E191" s="10">
        <v>45668.294571759259</v>
      </c>
      <c r="F191" s="10">
        <v>45668.327766203707</v>
      </c>
      <c r="G191" s="11">
        <f t="shared" si="4"/>
        <v>1.4328703706269152E-2</v>
      </c>
      <c r="H191" s="11">
        <f t="shared" si="5"/>
        <v>4.7523148154141381E-2</v>
      </c>
    </row>
    <row r="192" spans="1:8" x14ac:dyDescent="0.45">
      <c r="A192" s="3" t="s">
        <v>682</v>
      </c>
      <c r="B192" s="3" t="s">
        <v>819</v>
      </c>
      <c r="C192" s="10">
        <v>45668.297256944446</v>
      </c>
      <c r="D192" s="3" t="s">
        <v>657</v>
      </c>
      <c r="E192" s="10">
        <v>45668.307291666657</v>
      </c>
      <c r="F192" s="10">
        <v>45668.33965277778</v>
      </c>
      <c r="G192" s="11">
        <f t="shared" si="4"/>
        <v>1.0034722210548352E-2</v>
      </c>
      <c r="H192" s="11">
        <f t="shared" si="5"/>
        <v>4.2395833334012423E-2</v>
      </c>
    </row>
    <row r="193" spans="1:8" x14ac:dyDescent="0.45">
      <c r="A193" s="3" t="s">
        <v>684</v>
      </c>
      <c r="B193" s="3" t="s">
        <v>819</v>
      </c>
      <c r="C193" s="10">
        <v>45668.297256944446</v>
      </c>
      <c r="D193" s="3" t="s">
        <v>657</v>
      </c>
      <c r="E193" s="10">
        <v>45668.307291666657</v>
      </c>
      <c r="F193" s="10">
        <v>45668.33965277778</v>
      </c>
      <c r="G193" s="11">
        <f t="shared" si="4"/>
        <v>1.0034722210548352E-2</v>
      </c>
      <c r="H193" s="11">
        <f t="shared" si="5"/>
        <v>4.2395833334012423E-2</v>
      </c>
    </row>
    <row r="194" spans="1:8" x14ac:dyDescent="0.45">
      <c r="A194" s="3" t="s">
        <v>686</v>
      </c>
      <c r="B194" s="3" t="s">
        <v>819</v>
      </c>
      <c r="C194" s="10">
        <v>45668.297256944446</v>
      </c>
      <c r="D194" s="3" t="s">
        <v>657</v>
      </c>
      <c r="E194" s="10">
        <v>45668.307291666657</v>
      </c>
      <c r="F194" s="10">
        <v>45668.33965277778</v>
      </c>
      <c r="G194" s="11">
        <f t="shared" ref="G194:G246" si="6">IF(AND(ISNUMBER(C194),ISNUMBER(E194)),(E194-C194),"")</f>
        <v>1.0034722210548352E-2</v>
      </c>
      <c r="H194" s="11">
        <f t="shared" ref="H194:H246" si="7">IF(AND(ISNUMBER(C194),ISNUMBER(F194)),(F194-C194),"")</f>
        <v>4.2395833334012423E-2</v>
      </c>
    </row>
    <row r="195" spans="1:8" x14ac:dyDescent="0.45">
      <c r="A195" s="3" t="s">
        <v>688</v>
      </c>
      <c r="B195" s="3" t="s">
        <v>817</v>
      </c>
      <c r="C195" s="10">
        <v>45668.313483796293</v>
      </c>
      <c r="D195" s="3" t="s">
        <v>649</v>
      </c>
      <c r="E195" s="10">
        <v>45668.318692129629</v>
      </c>
      <c r="F195" s="10">
        <v>45668.349340277768</v>
      </c>
      <c r="G195" s="11">
        <f t="shared" si="6"/>
        <v>5.2083333357586525E-3</v>
      </c>
      <c r="H195" s="11">
        <f t="shared" si="7"/>
        <v>3.5856481474183965E-2</v>
      </c>
    </row>
    <row r="196" spans="1:8" x14ac:dyDescent="0.45">
      <c r="A196" s="3" t="s">
        <v>690</v>
      </c>
      <c r="B196" s="3" t="s">
        <v>814</v>
      </c>
      <c r="C196" s="10">
        <v>45668.314803240741</v>
      </c>
      <c r="D196" s="3" t="s">
        <v>591</v>
      </c>
      <c r="E196" s="10">
        <v>45668.542905092603</v>
      </c>
      <c r="F196" s="10">
        <v>45668.5703587963</v>
      </c>
      <c r="G196" s="11">
        <f t="shared" si="6"/>
        <v>0.2281018518624478</v>
      </c>
      <c r="H196" s="11">
        <f t="shared" si="7"/>
        <v>0.25555555555911269</v>
      </c>
    </row>
    <row r="197" spans="1:8" x14ac:dyDescent="0.45">
      <c r="A197" s="3" t="s">
        <v>692</v>
      </c>
      <c r="B197" s="3" t="s">
        <v>813</v>
      </c>
      <c r="C197" s="10">
        <v>45668.315671296303</v>
      </c>
      <c r="D197" s="3" t="s">
        <v>693</v>
      </c>
      <c r="E197" s="10">
        <v>45668.542939814812</v>
      </c>
      <c r="F197" s="10">
        <v>45668.575092592589</v>
      </c>
      <c r="G197" s="11">
        <f t="shared" si="6"/>
        <v>0.22726851850893581</v>
      </c>
      <c r="H197" s="11">
        <f t="shared" si="7"/>
        <v>0.25942129628674593</v>
      </c>
    </row>
    <row r="198" spans="1:8" x14ac:dyDescent="0.45">
      <c r="A198" s="3" t="s">
        <v>695</v>
      </c>
      <c r="B198" s="3" t="s">
        <v>817</v>
      </c>
      <c r="C198" s="10">
        <v>45668.508518518523</v>
      </c>
      <c r="D198" s="3" t="s">
        <v>696</v>
      </c>
      <c r="E198" s="10">
        <v>45668.544224537043</v>
      </c>
      <c r="F198" s="10">
        <v>45668.596134259264</v>
      </c>
      <c r="G198" s="11">
        <f t="shared" si="6"/>
        <v>3.570601851970423E-2</v>
      </c>
      <c r="H198" s="11">
        <f t="shared" si="7"/>
        <v>8.7615740740147885E-2</v>
      </c>
    </row>
    <row r="199" spans="1:8" x14ac:dyDescent="0.45">
      <c r="A199" s="3" t="s">
        <v>698</v>
      </c>
      <c r="B199" s="3" t="s">
        <v>816</v>
      </c>
      <c r="C199" s="10">
        <v>45668.509421296287</v>
      </c>
      <c r="D199" s="3" t="s">
        <v>642</v>
      </c>
      <c r="E199" s="10">
        <v>45668.515185185177</v>
      </c>
      <c r="F199" s="10">
        <v>45668.538958333331</v>
      </c>
      <c r="G199" s="11">
        <f t="shared" si="6"/>
        <v>5.7638888902147301E-3</v>
      </c>
      <c r="H199" s="11">
        <f t="shared" si="7"/>
        <v>2.9537037044065073E-2</v>
      </c>
    </row>
    <row r="200" spans="1:8" x14ac:dyDescent="0.45">
      <c r="A200" s="3" t="s">
        <v>700</v>
      </c>
      <c r="B200" s="3" t="s">
        <v>815</v>
      </c>
      <c r="C200" s="10">
        <v>45668.52076388889</v>
      </c>
      <c r="D200" s="3" t="s">
        <v>654</v>
      </c>
      <c r="E200" s="10">
        <v>45668.533854166657</v>
      </c>
      <c r="F200" s="10">
        <v>45668.564328703702</v>
      </c>
      <c r="G200" s="11">
        <f t="shared" si="6"/>
        <v>1.3090277767332736E-2</v>
      </c>
      <c r="H200" s="11">
        <f t="shared" si="7"/>
        <v>4.3564814812270924E-2</v>
      </c>
    </row>
    <row r="201" spans="1:8" x14ac:dyDescent="0.45">
      <c r="A201" s="3" t="s">
        <v>702</v>
      </c>
      <c r="B201" s="3" t="s">
        <v>815</v>
      </c>
      <c r="C201" s="10">
        <v>45668.52076388889</v>
      </c>
      <c r="D201" s="3" t="s">
        <v>654</v>
      </c>
      <c r="E201" s="10">
        <v>45668.533854166657</v>
      </c>
      <c r="F201" s="10">
        <v>45668.564328703702</v>
      </c>
      <c r="G201" s="11">
        <f t="shared" si="6"/>
        <v>1.3090277767332736E-2</v>
      </c>
      <c r="H201" s="11">
        <f t="shared" si="7"/>
        <v>4.3564814812270924E-2</v>
      </c>
    </row>
    <row r="202" spans="1:8" x14ac:dyDescent="0.45">
      <c r="A202" s="3" t="s">
        <v>704</v>
      </c>
      <c r="B202" s="3" t="s">
        <v>820</v>
      </c>
      <c r="C202" s="10">
        <v>45668.521956018521</v>
      </c>
      <c r="D202" s="3" t="s">
        <v>671</v>
      </c>
      <c r="E202" s="10">
        <v>45668.902407407397</v>
      </c>
      <c r="F202" s="10">
        <v>45668.948819444442</v>
      </c>
      <c r="G202" s="11">
        <f t="shared" si="6"/>
        <v>0.38045138887537178</v>
      </c>
      <c r="H202" s="11">
        <f t="shared" si="7"/>
        <v>0.426863425920601</v>
      </c>
    </row>
    <row r="203" spans="1:8" x14ac:dyDescent="0.45">
      <c r="A203" s="3" t="s">
        <v>706</v>
      </c>
      <c r="B203" s="3" t="s">
        <v>813</v>
      </c>
      <c r="C203" s="10">
        <v>45668.529074074067</v>
      </c>
      <c r="D203" s="3" t="s">
        <v>693</v>
      </c>
      <c r="E203" s="10">
        <v>45668.542939814812</v>
      </c>
      <c r="F203" s="10">
        <v>45668.575092592589</v>
      </c>
      <c r="G203" s="11">
        <f t="shared" si="6"/>
        <v>1.3865740744222421E-2</v>
      </c>
      <c r="H203" s="11">
        <f t="shared" si="7"/>
        <v>4.6018518522032537E-2</v>
      </c>
    </row>
    <row r="204" spans="1:8" x14ac:dyDescent="0.45">
      <c r="A204" s="3" t="s">
        <v>708</v>
      </c>
      <c r="B204" s="3" t="s">
        <v>813</v>
      </c>
      <c r="C204" s="10">
        <v>45668.529074074067</v>
      </c>
      <c r="D204" s="3" t="s">
        <v>693</v>
      </c>
      <c r="E204" s="10">
        <v>45668.542939814812</v>
      </c>
      <c r="F204" s="10">
        <v>45668.575092592589</v>
      </c>
      <c r="G204" s="11">
        <f t="shared" si="6"/>
        <v>1.3865740744222421E-2</v>
      </c>
      <c r="H204" s="11">
        <f t="shared" si="7"/>
        <v>4.6018518522032537E-2</v>
      </c>
    </row>
    <row r="205" spans="1:8" x14ac:dyDescent="0.45">
      <c r="A205" s="3" t="s">
        <v>710</v>
      </c>
      <c r="B205" s="3" t="s">
        <v>814</v>
      </c>
      <c r="C205" s="10">
        <v>45668.535451388889</v>
      </c>
      <c r="D205" s="3" t="s">
        <v>591</v>
      </c>
      <c r="E205" s="10">
        <v>45668.542905092603</v>
      </c>
      <c r="F205" s="10">
        <v>45668.5703587963</v>
      </c>
      <c r="G205" s="11">
        <f t="shared" si="6"/>
        <v>7.453703714418225E-3</v>
      </c>
      <c r="H205" s="11">
        <f t="shared" si="7"/>
        <v>3.4907407411083113E-2</v>
      </c>
    </row>
    <row r="206" spans="1:8" x14ac:dyDescent="0.45">
      <c r="A206" s="3" t="s">
        <v>712</v>
      </c>
      <c r="B206" s="3" t="s">
        <v>817</v>
      </c>
      <c r="C206" s="10">
        <v>45668.536851851852</v>
      </c>
      <c r="D206" s="3" t="s">
        <v>696</v>
      </c>
      <c r="E206" s="10">
        <v>45668.544224537043</v>
      </c>
      <c r="F206" s="10">
        <v>45668.596134259264</v>
      </c>
      <c r="G206" s="11">
        <f t="shared" si="6"/>
        <v>7.3726851915125735E-3</v>
      </c>
      <c r="H206" s="11">
        <f t="shared" si="7"/>
        <v>5.9282407411956228E-2</v>
      </c>
    </row>
    <row r="207" spans="1:8" x14ac:dyDescent="0.45">
      <c r="A207" s="3" t="s">
        <v>714</v>
      </c>
      <c r="B207" s="3" t="s">
        <v>819</v>
      </c>
      <c r="C207" s="10">
        <v>45668.538101851853</v>
      </c>
      <c r="D207" s="3" t="s">
        <v>715</v>
      </c>
      <c r="E207" s="10">
        <v>45669.359305555547</v>
      </c>
      <c r="F207" s="10">
        <v>45669.388842592591</v>
      </c>
      <c r="G207" s="11">
        <f t="shared" si="6"/>
        <v>0.82120370369375451</v>
      </c>
      <c r="H207" s="11">
        <f t="shared" si="7"/>
        <v>0.85074074073781958</v>
      </c>
    </row>
    <row r="208" spans="1:8" x14ac:dyDescent="0.45">
      <c r="A208" s="3" t="s">
        <v>717</v>
      </c>
      <c r="B208" s="3" t="s">
        <v>818</v>
      </c>
      <c r="C208" s="10">
        <v>45668.548645833333</v>
      </c>
      <c r="D208" s="3" t="s">
        <v>718</v>
      </c>
      <c r="E208" s="10">
        <v>45668.584421296298</v>
      </c>
      <c r="F208" s="10">
        <v>45668.616770833331</v>
      </c>
      <c r="G208" s="11">
        <f t="shared" si="6"/>
        <v>3.5775462965830229E-2</v>
      </c>
      <c r="H208" s="11">
        <f t="shared" si="7"/>
        <v>6.8124999997962732E-2</v>
      </c>
    </row>
    <row r="209" spans="1:8" x14ac:dyDescent="0.45">
      <c r="A209" s="3" t="s">
        <v>720</v>
      </c>
      <c r="B209" s="3" t="s">
        <v>818</v>
      </c>
      <c r="C209" s="10">
        <v>45668.548645833333</v>
      </c>
      <c r="D209" s="3" t="s">
        <v>718</v>
      </c>
      <c r="E209" s="10">
        <v>45668.584421296298</v>
      </c>
      <c r="F209" s="10">
        <v>45668.616770833331</v>
      </c>
      <c r="G209" s="11">
        <f t="shared" si="6"/>
        <v>3.5775462965830229E-2</v>
      </c>
      <c r="H209" s="11">
        <f t="shared" si="7"/>
        <v>6.8124999997962732E-2</v>
      </c>
    </row>
    <row r="210" spans="1:8" x14ac:dyDescent="0.45">
      <c r="A210" s="3" t="s">
        <v>722</v>
      </c>
      <c r="B210" s="3" t="s">
        <v>821</v>
      </c>
      <c r="C210" s="10">
        <v>45668.549756944441</v>
      </c>
      <c r="D210" s="3" t="s">
        <v>723</v>
      </c>
      <c r="E210" s="10">
        <v>45669.444837962961</v>
      </c>
      <c r="F210" s="10">
        <v>45669.4687962963</v>
      </c>
      <c r="G210" s="11">
        <f t="shared" si="6"/>
        <v>0.89508101851970423</v>
      </c>
      <c r="H210" s="11">
        <f t="shared" si="7"/>
        <v>0.91903935185837327</v>
      </c>
    </row>
    <row r="211" spans="1:8" x14ac:dyDescent="0.45">
      <c r="A211" s="3" t="s">
        <v>725</v>
      </c>
      <c r="B211" s="3" t="s">
        <v>818</v>
      </c>
      <c r="C211" s="10">
        <v>45668.551203703697</v>
      </c>
      <c r="D211" s="3" t="s">
        <v>718</v>
      </c>
      <c r="E211" s="10">
        <v>45668.584421296298</v>
      </c>
      <c r="F211" s="10">
        <v>45668.616770833331</v>
      </c>
      <c r="G211" s="11">
        <f t="shared" si="6"/>
        <v>3.3217592601431534E-2</v>
      </c>
      <c r="H211" s="11">
        <f t="shared" si="7"/>
        <v>6.5567129633564036E-2</v>
      </c>
    </row>
    <row r="212" spans="1:8" x14ac:dyDescent="0.45">
      <c r="A212" s="3" t="s">
        <v>727</v>
      </c>
      <c r="B212" s="3" t="s">
        <v>816</v>
      </c>
      <c r="C212" s="10">
        <v>45668.553020833337</v>
      </c>
      <c r="D212" s="3" t="s">
        <v>728</v>
      </c>
      <c r="E212" s="10">
        <v>45668.900173611109</v>
      </c>
      <c r="F212" s="10">
        <v>45668.921168981477</v>
      </c>
      <c r="G212" s="11">
        <f t="shared" si="6"/>
        <v>0.34715277777286246</v>
      </c>
      <c r="H212" s="11">
        <f t="shared" si="7"/>
        <v>0.3681481481398805</v>
      </c>
    </row>
    <row r="213" spans="1:8" x14ac:dyDescent="0.45">
      <c r="A213" s="3" t="s">
        <v>730</v>
      </c>
      <c r="B213" s="3" t="s">
        <v>822</v>
      </c>
      <c r="C213" s="10">
        <v>45668.554097222222</v>
      </c>
      <c r="D213" s="3" t="s">
        <v>731</v>
      </c>
      <c r="E213" s="10">
        <v>45669.417337962957</v>
      </c>
      <c r="F213" s="10">
        <v>45669.44127314815</v>
      </c>
      <c r="G213" s="11">
        <f t="shared" si="6"/>
        <v>0.8632407407349092</v>
      </c>
      <c r="H213" s="11">
        <f t="shared" si="7"/>
        <v>0.88717592592729488</v>
      </c>
    </row>
    <row r="214" spans="1:8" x14ac:dyDescent="0.45">
      <c r="A214" s="3" t="s">
        <v>733</v>
      </c>
      <c r="B214" s="3" t="s">
        <v>820</v>
      </c>
      <c r="C214" s="10">
        <v>45668.757696759261</v>
      </c>
      <c r="D214" s="3" t="s">
        <v>671</v>
      </c>
      <c r="E214" s="10">
        <v>45668.902407407397</v>
      </c>
      <c r="F214" s="10">
        <v>45668.948819444442</v>
      </c>
      <c r="G214" s="11">
        <f t="shared" si="6"/>
        <v>0.14471064813551493</v>
      </c>
      <c r="H214" s="11">
        <f t="shared" si="7"/>
        <v>0.19112268518074416</v>
      </c>
    </row>
    <row r="215" spans="1:8" x14ac:dyDescent="0.45">
      <c r="A215" s="3" t="s">
        <v>735</v>
      </c>
      <c r="B215" s="3" t="s">
        <v>813</v>
      </c>
      <c r="C215" s="10">
        <v>45668.758564814823</v>
      </c>
      <c r="D215" s="3" t="s">
        <v>736</v>
      </c>
      <c r="E215" s="10">
        <v>45669.358576388891</v>
      </c>
      <c r="F215" s="10">
        <v>45669.385243055563</v>
      </c>
      <c r="G215" s="11">
        <f t="shared" si="6"/>
        <v>0.6000115740680485</v>
      </c>
      <c r="H215" s="11">
        <f t="shared" si="7"/>
        <v>0.62667824074014788</v>
      </c>
    </row>
    <row r="216" spans="1:8" x14ac:dyDescent="0.45">
      <c r="A216" s="3" t="s">
        <v>738</v>
      </c>
      <c r="B216" s="3" t="s">
        <v>816</v>
      </c>
      <c r="C216" s="10">
        <v>45668.889525462961</v>
      </c>
      <c r="D216" s="3" t="s">
        <v>728</v>
      </c>
      <c r="E216" s="10">
        <v>45668.900173611109</v>
      </c>
      <c r="F216" s="10">
        <v>45668.921168981477</v>
      </c>
      <c r="G216" s="11">
        <f t="shared" si="6"/>
        <v>1.0648148148902692E-2</v>
      </c>
      <c r="H216" s="11">
        <f t="shared" si="7"/>
        <v>3.1643518515920732E-2</v>
      </c>
    </row>
    <row r="217" spans="1:8" x14ac:dyDescent="0.45">
      <c r="A217" s="3" t="s">
        <v>740</v>
      </c>
      <c r="B217" s="3" t="s">
        <v>820</v>
      </c>
      <c r="C217" s="10">
        <v>45668.891018518523</v>
      </c>
      <c r="D217" s="3" t="s">
        <v>671</v>
      </c>
      <c r="E217" s="10">
        <v>45668.902407407397</v>
      </c>
      <c r="F217" s="10">
        <v>45668.948819444442</v>
      </c>
      <c r="G217" s="11">
        <f t="shared" si="6"/>
        <v>1.1388888873625547E-2</v>
      </c>
      <c r="H217" s="11">
        <f t="shared" si="7"/>
        <v>5.7800925918854773E-2</v>
      </c>
    </row>
    <row r="218" spans="1:8" x14ac:dyDescent="0.45">
      <c r="A218" s="3" t="s">
        <v>742</v>
      </c>
      <c r="B218" s="3" t="s">
        <v>820</v>
      </c>
      <c r="C218" s="10">
        <v>45668.891018518523</v>
      </c>
      <c r="D218" s="3" t="s">
        <v>671</v>
      </c>
      <c r="E218" s="10">
        <v>45668.902407407397</v>
      </c>
      <c r="F218" s="10">
        <v>45668.948819444442</v>
      </c>
      <c r="G218" s="11">
        <f t="shared" si="6"/>
        <v>1.1388888873625547E-2</v>
      </c>
      <c r="H218" s="11">
        <f t="shared" si="7"/>
        <v>5.7800925918854773E-2</v>
      </c>
    </row>
    <row r="219" spans="1:8" x14ac:dyDescent="0.45">
      <c r="A219" s="3" t="s">
        <v>744</v>
      </c>
      <c r="B219" s="3" t="s">
        <v>820</v>
      </c>
      <c r="C219" s="10">
        <v>45668.891018518523</v>
      </c>
      <c r="D219" s="3" t="s">
        <v>671</v>
      </c>
      <c r="E219" s="10">
        <v>45668.902407407397</v>
      </c>
      <c r="F219" s="10">
        <v>45668.948819444442</v>
      </c>
      <c r="G219" s="11">
        <f t="shared" si="6"/>
        <v>1.1388888873625547E-2</v>
      </c>
      <c r="H219" s="11">
        <f t="shared" si="7"/>
        <v>5.7800925918854773E-2</v>
      </c>
    </row>
    <row r="220" spans="1:8" x14ac:dyDescent="0.45">
      <c r="A220" s="3" t="s">
        <v>746</v>
      </c>
      <c r="B220" s="3" t="s">
        <v>814</v>
      </c>
      <c r="C220" s="10">
        <v>45668.892453703702</v>
      </c>
      <c r="D220" s="3" t="s">
        <v>747</v>
      </c>
      <c r="E220" s="10">
        <v>45669.513761574082</v>
      </c>
      <c r="F220" s="10">
        <v>45669.540358796286</v>
      </c>
      <c r="G220" s="11">
        <f t="shared" si="6"/>
        <v>0.6213078703804058</v>
      </c>
      <c r="H220" s="11">
        <f t="shared" si="7"/>
        <v>0.64790509258455131</v>
      </c>
    </row>
    <row r="221" spans="1:8" x14ac:dyDescent="0.45">
      <c r="A221" s="3" t="s">
        <v>749</v>
      </c>
      <c r="B221" s="3" t="s">
        <v>816</v>
      </c>
      <c r="C221" s="10">
        <v>45668.988159722219</v>
      </c>
      <c r="D221" s="3" t="s">
        <v>750</v>
      </c>
      <c r="E221" s="10">
        <v>45668.997210648151</v>
      </c>
      <c r="F221" s="10">
        <v>45669.02103009259</v>
      </c>
      <c r="G221" s="11">
        <f t="shared" si="6"/>
        <v>9.0509259316604584E-3</v>
      </c>
      <c r="H221" s="11">
        <f t="shared" si="7"/>
        <v>3.2870370370801538E-2</v>
      </c>
    </row>
    <row r="222" spans="1:8" x14ac:dyDescent="0.45">
      <c r="A222" s="3" t="s">
        <v>752</v>
      </c>
      <c r="B222" s="3" t="s">
        <v>816</v>
      </c>
      <c r="C222" s="10">
        <v>45668.988159722219</v>
      </c>
      <c r="D222" s="3" t="s">
        <v>750</v>
      </c>
      <c r="E222" s="10">
        <v>45668.997210648151</v>
      </c>
      <c r="F222" s="10">
        <v>45669.02103009259</v>
      </c>
      <c r="G222" s="11">
        <f t="shared" si="6"/>
        <v>9.0509259316604584E-3</v>
      </c>
      <c r="H222" s="11">
        <f t="shared" si="7"/>
        <v>3.2870370370801538E-2</v>
      </c>
    </row>
    <row r="223" spans="1:8" x14ac:dyDescent="0.45">
      <c r="A223" s="3" t="s">
        <v>754</v>
      </c>
      <c r="B223" s="3" t="s">
        <v>817</v>
      </c>
      <c r="C223" s="10">
        <v>45668.989560185182</v>
      </c>
      <c r="D223" s="3" t="s">
        <v>755</v>
      </c>
      <c r="E223" s="10">
        <v>45669.813726851848</v>
      </c>
      <c r="F223" s="10">
        <v>45669.848877314813</v>
      </c>
      <c r="G223" s="11">
        <f t="shared" si="6"/>
        <v>0.8241666666654055</v>
      </c>
      <c r="H223" s="11">
        <f t="shared" si="7"/>
        <v>0.85931712963065365</v>
      </c>
    </row>
    <row r="224" spans="1:8" x14ac:dyDescent="0.45">
      <c r="A224" s="3" t="s">
        <v>757</v>
      </c>
      <c r="B224" s="3" t="s">
        <v>819</v>
      </c>
      <c r="C224" s="10">
        <v>45669.348078703697</v>
      </c>
      <c r="D224" s="3" t="s">
        <v>715</v>
      </c>
      <c r="E224" s="10">
        <v>45669.359305555547</v>
      </c>
      <c r="F224" s="10">
        <v>45669.388842592591</v>
      </c>
      <c r="G224" s="11">
        <f t="shared" si="6"/>
        <v>1.1226851849642117E-2</v>
      </c>
      <c r="H224" s="11">
        <f t="shared" si="7"/>
        <v>4.076388889370719E-2</v>
      </c>
    </row>
    <row r="225" spans="1:8" x14ac:dyDescent="0.45">
      <c r="A225" s="3" t="s">
        <v>759</v>
      </c>
      <c r="B225" s="3" t="s">
        <v>813</v>
      </c>
      <c r="C225" s="10">
        <v>45669.348946759259</v>
      </c>
      <c r="D225" s="3" t="s">
        <v>736</v>
      </c>
      <c r="E225" s="10">
        <v>45669.358576388891</v>
      </c>
      <c r="F225" s="10">
        <v>45669.385243055563</v>
      </c>
      <c r="G225" s="11">
        <f t="shared" si="6"/>
        <v>9.6296296323998831E-3</v>
      </c>
      <c r="H225" s="11">
        <f t="shared" si="7"/>
        <v>3.6296296304499265E-2</v>
      </c>
    </row>
    <row r="226" spans="1:8" x14ac:dyDescent="0.45">
      <c r="A226" s="3" t="s">
        <v>761</v>
      </c>
      <c r="B226" s="3" t="s">
        <v>819</v>
      </c>
      <c r="C226" s="10">
        <v>45669.350266203714</v>
      </c>
      <c r="D226" s="3" t="s">
        <v>715</v>
      </c>
      <c r="E226" s="10">
        <v>45669.359305555547</v>
      </c>
      <c r="F226" s="10">
        <v>45669.388842592591</v>
      </c>
      <c r="G226" s="11">
        <f t="shared" si="6"/>
        <v>9.0393518330529332E-3</v>
      </c>
      <c r="H226" s="11">
        <f t="shared" si="7"/>
        <v>3.8576388877118006E-2</v>
      </c>
    </row>
    <row r="227" spans="1:8" x14ac:dyDescent="0.45">
      <c r="A227" s="3" t="s">
        <v>763</v>
      </c>
      <c r="B227" s="3" t="s">
        <v>819</v>
      </c>
      <c r="C227" s="10">
        <v>45669.350266203714</v>
      </c>
      <c r="D227" s="3" t="s">
        <v>715</v>
      </c>
      <c r="E227" s="10">
        <v>45669.359305555547</v>
      </c>
      <c r="F227" s="10">
        <v>45669.388842592591</v>
      </c>
      <c r="G227" s="11">
        <f t="shared" si="6"/>
        <v>9.0393518330529332E-3</v>
      </c>
      <c r="H227" s="11">
        <f t="shared" si="7"/>
        <v>3.8576388877118006E-2</v>
      </c>
    </row>
    <row r="228" spans="1:8" x14ac:dyDescent="0.45">
      <c r="A228" s="3" t="s">
        <v>765</v>
      </c>
      <c r="B228" s="3" t="s">
        <v>813</v>
      </c>
      <c r="C228" s="10">
        <v>45669.351134259261</v>
      </c>
      <c r="D228" s="3" t="s">
        <v>736</v>
      </c>
      <c r="E228" s="10">
        <v>45669.358576388891</v>
      </c>
      <c r="F228" s="10">
        <v>45669.385243055563</v>
      </c>
      <c r="G228" s="11">
        <f t="shared" si="6"/>
        <v>7.442129630362615E-3</v>
      </c>
      <c r="H228" s="11">
        <f t="shared" si="7"/>
        <v>3.4108796302461997E-2</v>
      </c>
    </row>
    <row r="229" spans="1:8" x14ac:dyDescent="0.45">
      <c r="A229" s="3" t="s">
        <v>767</v>
      </c>
      <c r="B229" s="3" t="s">
        <v>822</v>
      </c>
      <c r="C229" s="10">
        <v>45669.404270833344</v>
      </c>
      <c r="D229" s="3" t="s">
        <v>731</v>
      </c>
      <c r="E229" s="10">
        <v>45669.417337962957</v>
      </c>
      <c r="F229" s="10">
        <v>45669.44127314815</v>
      </c>
      <c r="G229" s="11">
        <f t="shared" si="6"/>
        <v>1.3067129613773432E-2</v>
      </c>
      <c r="H229" s="11">
        <f t="shared" si="7"/>
        <v>3.700231480615912E-2</v>
      </c>
    </row>
    <row r="230" spans="1:8" x14ac:dyDescent="0.45">
      <c r="A230" s="3" t="s">
        <v>769</v>
      </c>
      <c r="B230" s="3" t="s">
        <v>817</v>
      </c>
      <c r="C230" s="10">
        <v>45669.405717592592</v>
      </c>
      <c r="D230" s="3" t="s">
        <v>755</v>
      </c>
      <c r="E230" s="10">
        <v>45669.813726851848</v>
      </c>
      <c r="F230" s="10">
        <v>45669.848877314813</v>
      </c>
      <c r="G230" s="11">
        <f t="shared" si="6"/>
        <v>0.40800925925577758</v>
      </c>
      <c r="H230" s="11">
        <f t="shared" si="7"/>
        <v>0.44315972222102573</v>
      </c>
    </row>
    <row r="231" spans="1:8" x14ac:dyDescent="0.45">
      <c r="A231" s="3" t="s">
        <v>772</v>
      </c>
      <c r="B231" s="3" t="s">
        <v>821</v>
      </c>
      <c r="C231" s="10">
        <v>45669.43209490741</v>
      </c>
      <c r="D231" s="3" t="s">
        <v>723</v>
      </c>
      <c r="E231" s="10">
        <v>45669.444837962961</v>
      </c>
      <c r="F231" s="10">
        <v>45669.4687962963</v>
      </c>
      <c r="G231" s="11">
        <f t="shared" si="6"/>
        <v>1.2743055551254656E-2</v>
      </c>
      <c r="H231" s="11">
        <f t="shared" si="7"/>
        <v>3.6701388889923692E-2</v>
      </c>
    </row>
    <row r="232" spans="1:8" x14ac:dyDescent="0.45">
      <c r="A232" s="3" t="s">
        <v>775</v>
      </c>
      <c r="B232" s="3" t="s">
        <v>821</v>
      </c>
      <c r="C232" s="10">
        <v>45669.434189814812</v>
      </c>
      <c r="D232" s="3" t="s">
        <v>723</v>
      </c>
      <c r="E232" s="10">
        <v>45669.444837962961</v>
      </c>
      <c r="F232" s="10">
        <v>45669.4687962963</v>
      </c>
      <c r="G232" s="11">
        <f t="shared" si="6"/>
        <v>1.0648148148902692E-2</v>
      </c>
      <c r="H232" s="11">
        <f t="shared" si="7"/>
        <v>3.4606481487571727E-2</v>
      </c>
    </row>
    <row r="233" spans="1:8" x14ac:dyDescent="0.45">
      <c r="A233" s="3" t="s">
        <v>777</v>
      </c>
      <c r="B233" s="3" t="s">
        <v>815</v>
      </c>
      <c r="C233" s="10">
        <v>45669.469699074078</v>
      </c>
      <c r="D233" s="3" t="s">
        <v>778</v>
      </c>
      <c r="E233" s="10">
        <v>45669.482523148137</v>
      </c>
      <c r="F233" s="10">
        <v>45669.509317129632</v>
      </c>
      <c r="G233" s="11">
        <f t="shared" si="6"/>
        <v>1.2824074059608392E-2</v>
      </c>
      <c r="H233" s="11">
        <f t="shared" si="7"/>
        <v>3.9618055554456078E-2</v>
      </c>
    </row>
    <row r="234" spans="1:8" x14ac:dyDescent="0.45">
      <c r="A234" s="3" t="s">
        <v>781</v>
      </c>
      <c r="B234" s="3" t="s">
        <v>815</v>
      </c>
      <c r="C234" s="10">
        <v>45669.471875000003</v>
      </c>
      <c r="D234" s="3" t="s">
        <v>778</v>
      </c>
      <c r="E234" s="10">
        <v>45669.482523148137</v>
      </c>
      <c r="F234" s="10">
        <v>45669.509317129632</v>
      </c>
      <c r="G234" s="11">
        <f t="shared" si="6"/>
        <v>1.0648148134350777E-2</v>
      </c>
      <c r="H234" s="11">
        <f t="shared" si="7"/>
        <v>3.7442129629198462E-2</v>
      </c>
    </row>
    <row r="235" spans="1:8" x14ac:dyDescent="0.45">
      <c r="A235" s="3" t="s">
        <v>783</v>
      </c>
      <c r="B235" s="3" t="s">
        <v>814</v>
      </c>
      <c r="C235" s="10">
        <v>45669.503125000003</v>
      </c>
      <c r="D235" s="3" t="s">
        <v>747</v>
      </c>
      <c r="E235" s="10">
        <v>45669.513761574082</v>
      </c>
      <c r="F235" s="10">
        <v>45669.540358796286</v>
      </c>
      <c r="G235" s="11">
        <f t="shared" si="6"/>
        <v>1.0636574079398997E-2</v>
      </c>
      <c r="H235" s="11">
        <f t="shared" si="7"/>
        <v>3.7233796283544507E-2</v>
      </c>
    </row>
    <row r="236" spans="1:8" x14ac:dyDescent="0.45">
      <c r="A236" s="3" t="s">
        <v>786</v>
      </c>
      <c r="B236" s="3" t="s">
        <v>818</v>
      </c>
      <c r="C236" s="10">
        <v>45669.505798611113</v>
      </c>
      <c r="D236" s="3" t="s">
        <v>787</v>
      </c>
      <c r="E236" s="10">
        <v>45669.685972222222</v>
      </c>
      <c r="F236" s="10">
        <v>45669.707083333327</v>
      </c>
      <c r="G236" s="11">
        <f t="shared" si="6"/>
        <v>0.18017361110833008</v>
      </c>
      <c r="H236" s="11">
        <f t="shared" si="7"/>
        <v>0.20128472221404081</v>
      </c>
    </row>
    <row r="237" spans="1:8" x14ac:dyDescent="0.45">
      <c r="A237" s="3" t="s">
        <v>789</v>
      </c>
      <c r="B237" s="3" t="s">
        <v>818</v>
      </c>
      <c r="C237" s="10">
        <v>45669.677789351852</v>
      </c>
      <c r="D237" s="3" t="s">
        <v>787</v>
      </c>
      <c r="E237" s="10">
        <v>45669.685972222222</v>
      </c>
      <c r="F237" s="10">
        <v>45669.707083333327</v>
      </c>
      <c r="G237" s="11">
        <f t="shared" si="6"/>
        <v>8.182870369637385E-3</v>
      </c>
      <c r="H237" s="11">
        <f t="shared" si="7"/>
        <v>2.9293981475348119E-2</v>
      </c>
    </row>
    <row r="238" spans="1:8" x14ac:dyDescent="0.45">
      <c r="A238" s="3" t="s">
        <v>791</v>
      </c>
      <c r="B238" s="3" t="s">
        <v>814</v>
      </c>
      <c r="C238" s="10">
        <v>45669.679108796299</v>
      </c>
      <c r="D238" s="3" t="s">
        <v>792</v>
      </c>
      <c r="E238" s="10">
        <v>45669.941388888888</v>
      </c>
      <c r="F238" s="10">
        <v>45669.996111111112</v>
      </c>
      <c r="G238" s="11">
        <f t="shared" si="6"/>
        <v>0.26228009258920792</v>
      </c>
      <c r="H238" s="11">
        <f t="shared" si="7"/>
        <v>0.31700231481227092</v>
      </c>
    </row>
    <row r="239" spans="1:8" x14ac:dyDescent="0.45">
      <c r="A239" s="3" t="s">
        <v>795</v>
      </c>
      <c r="B239" s="3" t="s">
        <v>814</v>
      </c>
      <c r="C239" s="10">
        <v>45669.80064814815</v>
      </c>
      <c r="D239" s="3" t="s">
        <v>792</v>
      </c>
      <c r="E239" s="10">
        <v>45669.941388888888</v>
      </c>
      <c r="F239" s="10">
        <v>45669.996111111112</v>
      </c>
      <c r="G239" s="11">
        <f t="shared" si="6"/>
        <v>0.14074074073869269</v>
      </c>
      <c r="H239" s="11">
        <f t="shared" si="7"/>
        <v>0.19546296296175569</v>
      </c>
    </row>
    <row r="240" spans="1:8" x14ac:dyDescent="0.45">
      <c r="A240" s="3" t="s">
        <v>797</v>
      </c>
      <c r="B240" s="3" t="s">
        <v>817</v>
      </c>
      <c r="C240" s="10">
        <v>45669.802233796298</v>
      </c>
      <c r="D240" s="3" t="s">
        <v>755</v>
      </c>
      <c r="E240" s="10">
        <v>45669.813726851848</v>
      </c>
      <c r="F240" s="10">
        <v>45669.848877314813</v>
      </c>
      <c r="G240" s="11">
        <f t="shared" si="6"/>
        <v>1.1493055550090503E-2</v>
      </c>
      <c r="H240" s="11">
        <f t="shared" si="7"/>
        <v>4.6643518515338656E-2</v>
      </c>
    </row>
    <row r="241" spans="1:8" x14ac:dyDescent="0.45">
      <c r="A241" s="3" t="s">
        <v>799</v>
      </c>
      <c r="B241" s="3" t="s">
        <v>817</v>
      </c>
      <c r="C241" s="10">
        <v>45669.802233796298</v>
      </c>
      <c r="D241" s="3" t="s">
        <v>755</v>
      </c>
      <c r="E241" s="10">
        <v>45669.813726851848</v>
      </c>
      <c r="F241" s="10">
        <v>45669.848877314813</v>
      </c>
      <c r="G241" s="11">
        <f t="shared" si="6"/>
        <v>1.1493055550090503E-2</v>
      </c>
      <c r="H241" s="11">
        <f t="shared" si="7"/>
        <v>4.6643518515338656E-2</v>
      </c>
    </row>
    <row r="242" spans="1:8" x14ac:dyDescent="0.45">
      <c r="A242" s="3" t="s">
        <v>801</v>
      </c>
      <c r="B242" s="3" t="s">
        <v>814</v>
      </c>
      <c r="C242" s="10">
        <v>45669.927407407413</v>
      </c>
      <c r="D242" s="3" t="s">
        <v>792</v>
      </c>
      <c r="E242" s="10">
        <v>45669.941388888888</v>
      </c>
      <c r="F242" s="10">
        <v>45669.996111111112</v>
      </c>
      <c r="G242" s="11">
        <f t="shared" si="6"/>
        <v>1.3981481475639157E-2</v>
      </c>
      <c r="H242" s="11">
        <f t="shared" si="7"/>
        <v>6.8703703698702157E-2</v>
      </c>
    </row>
    <row r="243" spans="1:8" x14ac:dyDescent="0.45">
      <c r="A243" s="3" t="s">
        <v>803</v>
      </c>
      <c r="B243" s="3" t="s">
        <v>814</v>
      </c>
      <c r="C243" s="10">
        <v>45669.927407407413</v>
      </c>
      <c r="D243" s="3" t="s">
        <v>792</v>
      </c>
      <c r="E243" s="10">
        <v>45669.941388888888</v>
      </c>
      <c r="F243" s="10">
        <v>45669.996111111112</v>
      </c>
      <c r="G243" s="11">
        <f t="shared" si="6"/>
        <v>1.3981481475639157E-2</v>
      </c>
      <c r="H243" s="11">
        <f t="shared" si="7"/>
        <v>6.8703703698702157E-2</v>
      </c>
    </row>
    <row r="244" spans="1:8" x14ac:dyDescent="0.45">
      <c r="A244" s="3" t="s">
        <v>805</v>
      </c>
      <c r="B244" s="3" t="s">
        <v>814</v>
      </c>
      <c r="C244" s="10">
        <v>45669.927407407413</v>
      </c>
      <c r="D244" s="3" t="s">
        <v>792</v>
      </c>
      <c r="E244" s="10">
        <v>45669.941388888888</v>
      </c>
      <c r="F244" s="10">
        <v>45669.996111111112</v>
      </c>
      <c r="G244" s="11">
        <f t="shared" si="6"/>
        <v>1.3981481475639157E-2</v>
      </c>
      <c r="H244" s="11">
        <f t="shared" si="7"/>
        <v>6.8703703698702157E-2</v>
      </c>
    </row>
    <row r="245" spans="1:8" x14ac:dyDescent="0.45">
      <c r="A245" s="3" t="s">
        <v>807</v>
      </c>
      <c r="B245" s="3" t="s">
        <v>814</v>
      </c>
      <c r="C245" s="10">
        <v>45669.927407407413</v>
      </c>
      <c r="D245" s="3" t="s">
        <v>792</v>
      </c>
      <c r="E245" s="10">
        <v>45669.941388888888</v>
      </c>
      <c r="F245" s="10">
        <v>45669.996111111112</v>
      </c>
      <c r="G245" s="11">
        <f t="shared" si="6"/>
        <v>1.3981481475639157E-2</v>
      </c>
      <c r="H245" s="11">
        <f t="shared" si="7"/>
        <v>6.8703703698702157E-2</v>
      </c>
    </row>
    <row r="246" spans="1:8" x14ac:dyDescent="0.45">
      <c r="A246" s="3" t="s">
        <v>809</v>
      </c>
      <c r="B246" s="3" t="s">
        <v>814</v>
      </c>
      <c r="C246" s="10">
        <v>45669.927407407413</v>
      </c>
      <c r="D246" s="3" t="s">
        <v>792</v>
      </c>
      <c r="E246" s="10">
        <v>45669.941388888888</v>
      </c>
      <c r="F246" s="10">
        <v>45669.996111111112</v>
      </c>
      <c r="G246" s="11">
        <f t="shared" si="6"/>
        <v>1.3981481475639157E-2</v>
      </c>
      <c r="H246" s="11">
        <f t="shared" si="7"/>
        <v>6.8703703698702157E-2</v>
      </c>
    </row>
  </sheetData>
  <autoFilter ref="A1:H246" xr:uid="{00000000-0009-0000-0000-000009000000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Definitions</vt:lpstr>
      <vt:lpstr>Overview</vt:lpstr>
      <vt:lpstr>Incoming Trains</vt:lpstr>
      <vt:lpstr>Wagon Groups</vt:lpstr>
      <vt:lpstr>Outbound Trains</vt:lpstr>
      <vt:lpstr>Drive Stats</vt:lpstr>
      <vt:lpstr>WG Yard Times</vt:lpstr>
      <vt:lpstr>Activities (raw)</vt:lpstr>
      <vt:lpstr>Activity Charts</vt:lpstr>
      <vt:lpstr>OBTs (raw)</vt:lpstr>
      <vt:lpstr>WGs (raw)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mohamed ali</cp:lastModifiedBy>
  <dcterms:created xsi:type="dcterms:W3CDTF">2026-06-21T14:12:44Z</dcterms:created>
  <dcterms:modified xsi:type="dcterms:W3CDTF">2026-06-21T14:12:46Z</dcterms:modified>
</cp:coreProperties>
</file>